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esktop" sheetId="1" r:id="rId1"/>
    <sheet name="Notebook" sheetId="2" r:id="rId2"/>
    <sheet name="Telefone" sheetId="3" r:id="rId3"/>
    <sheet name="Mobiltelefone" sheetId="4" r:id="rId4"/>
    <sheet name="Monitore" sheetId="5" r:id="rId5"/>
    <sheet name="Peripherie" sheetId="6" r:id="rId6"/>
    <sheet name="Accessories" sheetId="8" r:id="rId7"/>
    <sheet name="Tablets" sheetId="9" r:id="rId8"/>
    <sheet name="Softwarelizenzen" sheetId="12" r:id="rId9"/>
    <sheet name="Kostenübersicht" sheetId="10" r:id="rId10"/>
    <sheet name="Mitarbeiterkosten" sheetId="11" r:id="rId11"/>
  </sheets>
  <calcPr calcId="152511"/>
</workbook>
</file>

<file path=xl/calcChain.xml><?xml version="1.0" encoding="utf-8"?>
<calcChain xmlns="http://schemas.openxmlformats.org/spreadsheetml/2006/main">
  <c r="B1" i="10" l="1"/>
</calcChain>
</file>

<file path=xl/sharedStrings.xml><?xml version="1.0" encoding="utf-8"?>
<sst xmlns="http://schemas.openxmlformats.org/spreadsheetml/2006/main" count="963" uniqueCount="288">
  <si>
    <t>Beschreibung</t>
  </si>
  <si>
    <t>Marke</t>
  </si>
  <si>
    <t>Model</t>
  </si>
  <si>
    <t>Gekauft bei</t>
  </si>
  <si>
    <t>Gekauft am</t>
  </si>
  <si>
    <t>Letzte Wartung</t>
  </si>
  <si>
    <t>Bemerkungen</t>
  </si>
  <si>
    <t>VPN</t>
  </si>
  <si>
    <t>NB-AWH-18-01-MW</t>
  </si>
  <si>
    <t>Notebook</t>
  </si>
  <si>
    <t>Lenovo</t>
  </si>
  <si>
    <t>-</t>
  </si>
  <si>
    <t>AfB</t>
  </si>
  <si>
    <t>JA</t>
  </si>
  <si>
    <t>Benutzer</t>
  </si>
  <si>
    <t>Fuchs, Volker</t>
  </si>
  <si>
    <t>OS</t>
  </si>
  <si>
    <t>Win 10</t>
  </si>
  <si>
    <t>Lobmeier, Anja</t>
  </si>
  <si>
    <t>AWO-HN-NB15</t>
  </si>
  <si>
    <t>Tablet</t>
  </si>
  <si>
    <t>Goutsidis, Stratos</t>
  </si>
  <si>
    <t>MIIX 320</t>
  </si>
  <si>
    <t>Alternate</t>
  </si>
  <si>
    <t>AWO-HN-40</t>
  </si>
  <si>
    <t>Desktop PC</t>
  </si>
  <si>
    <t>Büttner, Andrea</t>
  </si>
  <si>
    <t>HP</t>
  </si>
  <si>
    <t>dc7800p</t>
  </si>
  <si>
    <t>CZC74530QD</t>
  </si>
  <si>
    <t>NEIN</t>
  </si>
  <si>
    <t>AWO-HN-60</t>
  </si>
  <si>
    <t>Unger, Ralf</t>
  </si>
  <si>
    <t>Z600</t>
  </si>
  <si>
    <t>PC-AWH-17-01-MW</t>
  </si>
  <si>
    <t>Rauch, Christine</t>
  </si>
  <si>
    <t>Compaq Elite 8300</t>
  </si>
  <si>
    <t>PC-AWH-17-04-MW</t>
  </si>
  <si>
    <t>Hellwich, Dagmar</t>
  </si>
  <si>
    <t>DELL</t>
  </si>
  <si>
    <t>Optiplex 790</t>
  </si>
  <si>
    <t>PC-AWH-17-08-MW</t>
  </si>
  <si>
    <t>Gruber, Valentin</t>
  </si>
  <si>
    <t>PC-AWH-18-05-MW</t>
  </si>
  <si>
    <t>PC-AWH-18-06-MW</t>
  </si>
  <si>
    <t>PC-AWH-18-07-MW</t>
  </si>
  <si>
    <t>Merz, Dagmar</t>
  </si>
  <si>
    <t>Köbler, Michael</t>
  </si>
  <si>
    <t>PC-AWH-18-11-MW</t>
  </si>
  <si>
    <t>AWO-HN-TAB181101</t>
  </si>
  <si>
    <t>Klein, Robert</t>
  </si>
  <si>
    <t>Betriebsrat Tablet</t>
  </si>
  <si>
    <t>AWO-HN-TAB181201</t>
  </si>
  <si>
    <t>Blasmann, Severin</t>
  </si>
  <si>
    <t>NB-AWH-17-85-MW</t>
  </si>
  <si>
    <t>Engel, Daniela</t>
  </si>
  <si>
    <t>Einsatzort</t>
  </si>
  <si>
    <t>ZV</t>
  </si>
  <si>
    <t>Villa</t>
  </si>
  <si>
    <t>JH/Mobil</t>
  </si>
  <si>
    <t>ZV/Mobil</t>
  </si>
  <si>
    <t>Flex/JH/Mobil</t>
  </si>
  <si>
    <t>NB-AWH-18-03-MW</t>
  </si>
  <si>
    <t>Villa/Mobil</t>
  </si>
  <si>
    <t>NB-AWH-18-04-MW</t>
  </si>
  <si>
    <t>Rauner-Schläger, Josephine</t>
  </si>
  <si>
    <t>L412</t>
  </si>
  <si>
    <t>Neckarwestheim</t>
  </si>
  <si>
    <t>AWO-HN-PC181101</t>
  </si>
  <si>
    <t>Schropp, Manuela</t>
  </si>
  <si>
    <t>Compaq 6005 Pro</t>
  </si>
  <si>
    <t>CZC1464YZV</t>
  </si>
  <si>
    <t>Buchhaltung</t>
  </si>
  <si>
    <t>Personal</t>
  </si>
  <si>
    <t>Schuldnerberatung</t>
  </si>
  <si>
    <t>T400</t>
  </si>
  <si>
    <t>Schuldnerberatung/ZV</t>
  </si>
  <si>
    <t>PC-AWH-18-02-MW</t>
  </si>
  <si>
    <t>Desksharing</t>
  </si>
  <si>
    <t>Fujitsu</t>
  </si>
  <si>
    <t>Esprimo</t>
  </si>
  <si>
    <t>PC-AWH-18-08-MW</t>
  </si>
  <si>
    <t>PC-AWH-18-09-MW</t>
  </si>
  <si>
    <t>PC-AWH-18-10-MW</t>
  </si>
  <si>
    <t>PC-AWH-18-01-MW</t>
  </si>
  <si>
    <t>PC-AWH-18-12-MW</t>
  </si>
  <si>
    <t>GF</t>
  </si>
  <si>
    <t>PC-AWH-17-03-MW</t>
  </si>
  <si>
    <t>FLEX</t>
  </si>
  <si>
    <t>ASUS</t>
  </si>
  <si>
    <t>P50IJ</t>
  </si>
  <si>
    <t>Jugendhilfe/Mobil</t>
  </si>
  <si>
    <t>Optiplex 7010</t>
  </si>
  <si>
    <t>AWO-HN-11</t>
  </si>
  <si>
    <t>Haaser, Regina</t>
  </si>
  <si>
    <t>Compaq Elite 8200</t>
  </si>
  <si>
    <t>CZC1356NQ8</t>
  </si>
  <si>
    <t>AWOHN-PC190101</t>
  </si>
  <si>
    <t>Seiffert, Vera</t>
  </si>
  <si>
    <t>SD/ZV</t>
  </si>
  <si>
    <t>AWO-HN-NB25</t>
  </si>
  <si>
    <t>Fink, Tessa</t>
  </si>
  <si>
    <t>Lifebook E 751</t>
  </si>
  <si>
    <t>Fink in Vertretung für Frey</t>
  </si>
  <si>
    <t>NB-AWH-18-02-MW</t>
  </si>
  <si>
    <t>LR-51L0X 11/02</t>
  </si>
  <si>
    <t>K&amp;M</t>
  </si>
  <si>
    <t>Custom</t>
  </si>
  <si>
    <t>PB6550B</t>
  </si>
  <si>
    <t>CNU0442W21</t>
  </si>
  <si>
    <t>PMS/Mobil</t>
  </si>
  <si>
    <t>AWOHN-PC190201</t>
  </si>
  <si>
    <t>CZC93862MD</t>
  </si>
  <si>
    <t>AWO-HN-30</t>
  </si>
  <si>
    <t>Fink, Tessa / Frey, Lea</t>
  </si>
  <si>
    <t>JH/Stedi/EG</t>
  </si>
  <si>
    <t>Markulin, Natalina</t>
  </si>
  <si>
    <t>AWOHN-PC190202</t>
  </si>
  <si>
    <t>Raiser</t>
  </si>
  <si>
    <t>AWOHN-PC190203</t>
  </si>
  <si>
    <t>AWOHN-PC190204</t>
  </si>
  <si>
    <t>NB-AWH-17-02-MW</t>
  </si>
  <si>
    <t>AWOHN-NB190101</t>
  </si>
  <si>
    <t>AWOHN-NB190201</t>
  </si>
  <si>
    <t>AWOHN-NB190202</t>
  </si>
  <si>
    <t>AWOHN-PC190102</t>
  </si>
  <si>
    <t>Hirsch, Simon</t>
  </si>
  <si>
    <t>dc7900</t>
  </si>
  <si>
    <t>CZC9125JGC</t>
  </si>
  <si>
    <t>Zuletzt Lobmeier</t>
  </si>
  <si>
    <t>AWOHN-NB190203</t>
  </si>
  <si>
    <t>T420</t>
  </si>
  <si>
    <t>Mönchseestraße/Mobil</t>
  </si>
  <si>
    <t>Fachdienst</t>
  </si>
  <si>
    <t>AWOHN-PC190205</t>
  </si>
  <si>
    <t>Optiplex 7010 SFF</t>
  </si>
  <si>
    <t>29G55Z1</t>
  </si>
  <si>
    <t>JH/Stedi/OG</t>
  </si>
  <si>
    <t>AWO-HN-NB26</t>
  </si>
  <si>
    <t>DSC020049</t>
  </si>
  <si>
    <t>Zuletzt Engel</t>
  </si>
  <si>
    <t>AWOHN-PC190206</t>
  </si>
  <si>
    <t>6YMQG5Y</t>
  </si>
  <si>
    <t>AWOHN-PC190207</t>
  </si>
  <si>
    <t>LR-51K8F 11/02</t>
  </si>
  <si>
    <t>Olgastraße Pool</t>
  </si>
  <si>
    <t>Lifebook E 733</t>
  </si>
  <si>
    <t>AWOHN-NB190401</t>
  </si>
  <si>
    <t>Stedi Pool</t>
  </si>
  <si>
    <t>Samsung</t>
  </si>
  <si>
    <t>zuletzt Blasmann</t>
  </si>
  <si>
    <t>AWO-HN-NB23</t>
  </si>
  <si>
    <t>Kita Böckingen</t>
  </si>
  <si>
    <t>Elitebook 6930p</t>
  </si>
  <si>
    <t>Kita Bö/Mobil</t>
  </si>
  <si>
    <t>AWOHN-PC190301</t>
  </si>
  <si>
    <t>AWOHN-PC190401</t>
  </si>
  <si>
    <t>AWOHN-PC190402</t>
  </si>
  <si>
    <t>AWOHN-PC190403</t>
  </si>
  <si>
    <t>91BQT02</t>
  </si>
  <si>
    <t>75PDF5J</t>
  </si>
  <si>
    <t>H1YSH5J</t>
  </si>
  <si>
    <t>HKQZ02</t>
  </si>
  <si>
    <t>AWO-HN-20</t>
  </si>
  <si>
    <t>AWO-HN-23</t>
  </si>
  <si>
    <t>Follmann, Kristina</t>
  </si>
  <si>
    <t>AWO-HN-31</t>
  </si>
  <si>
    <t>T61</t>
  </si>
  <si>
    <t>Übergabeprotokoll?</t>
  </si>
  <si>
    <t>AWO-HN-NB24</t>
  </si>
  <si>
    <t>Elitebook 8460p</t>
  </si>
  <si>
    <t>Pool Flex</t>
  </si>
  <si>
    <t>Engel Mobil, zuletzt hellwich</t>
  </si>
  <si>
    <t>PC-AWH-17-95-MW</t>
  </si>
  <si>
    <t>Desksharing/Fuchs</t>
  </si>
  <si>
    <t>CZC202CQ5H</t>
  </si>
  <si>
    <t>AWO-HN-41</t>
  </si>
  <si>
    <t>AWO-HN-21</t>
  </si>
  <si>
    <t>AWO-HN-25</t>
  </si>
  <si>
    <t>AWO-HN-26</t>
  </si>
  <si>
    <t>ehemals Schropp</t>
  </si>
  <si>
    <t>AWO-HN-NB10</t>
  </si>
  <si>
    <t>Steinbach, Vanessa</t>
  </si>
  <si>
    <t>Ju-Haus/Untereisesheim</t>
  </si>
  <si>
    <t>NB-AWH-17-84-MW</t>
  </si>
  <si>
    <t>DSDD007873</t>
  </si>
  <si>
    <t>Display beschädigt, noch I.O.</t>
  </si>
  <si>
    <t>AWO-HN-NB14</t>
  </si>
  <si>
    <t>AUSGEMUSTERT</t>
  </si>
  <si>
    <t>Win 7</t>
  </si>
  <si>
    <t>Gespendet an MA Schulte</t>
  </si>
  <si>
    <t>AWOHN-NB190702</t>
  </si>
  <si>
    <t>AWOHN-NB190701</t>
  </si>
  <si>
    <t>T440</t>
  </si>
  <si>
    <t>PC-01DGMW 14/10</t>
  </si>
  <si>
    <t>inkls. Dockingstation Desktopersatz!</t>
  </si>
  <si>
    <t>mit Dockingstation Dekstopersatz</t>
  </si>
  <si>
    <t>PC-01DGRY 14/10</t>
  </si>
  <si>
    <t>AWOHN-TAB181202</t>
  </si>
  <si>
    <t>AWOHN-NB190801</t>
  </si>
  <si>
    <t>X1 Yoga</t>
  </si>
  <si>
    <t>R9-0LA5XK</t>
  </si>
  <si>
    <t>Lap-works</t>
  </si>
  <si>
    <t>Inkls. SIM</t>
  </si>
  <si>
    <t>ehemals Schleicher</t>
  </si>
  <si>
    <t>Schad, Sabine</t>
  </si>
  <si>
    <t>Kita Ngt</t>
  </si>
  <si>
    <t>Kita Boe Ltg</t>
  </si>
  <si>
    <t>Hiddeßen, Berit</t>
  </si>
  <si>
    <t>ehemals Schleicher, inkls SIM</t>
  </si>
  <si>
    <t>Bruhmann, Rebecca</t>
  </si>
  <si>
    <t>AWOHN-NB190901</t>
  </si>
  <si>
    <t>Bauknecht, Judith</t>
  </si>
  <si>
    <t>Toshiba</t>
  </si>
  <si>
    <t>Satellite Pro C660-29V</t>
  </si>
  <si>
    <t>XB099636K</t>
  </si>
  <si>
    <t>Win10</t>
  </si>
  <si>
    <t>Jule/Mobil</t>
  </si>
  <si>
    <t>Zur Überlassung Ehrenamtlicher, Bildschirmflackern?</t>
  </si>
  <si>
    <t>NB-AWH-17-82-MW</t>
  </si>
  <si>
    <t>Lifebook E733</t>
  </si>
  <si>
    <t>DSDD007818</t>
  </si>
  <si>
    <t>Zur Überlassung Ehrenamtlicher</t>
  </si>
  <si>
    <t>AWOHN-NB191101</t>
  </si>
  <si>
    <t>L3-BCK1T</t>
  </si>
  <si>
    <t>AWOHN-PC200102</t>
  </si>
  <si>
    <t>Optiplex 780</t>
  </si>
  <si>
    <t>5Y2BQ4J</t>
  </si>
  <si>
    <t>Spende</t>
  </si>
  <si>
    <t>Jule</t>
  </si>
  <si>
    <t>AWOHN-PC200103</t>
  </si>
  <si>
    <t>1HRZX4J</t>
  </si>
  <si>
    <t>AWOHN-PC200101</t>
  </si>
  <si>
    <t>Optiplex 980</t>
  </si>
  <si>
    <t>19TBW4J</t>
  </si>
  <si>
    <t>EK-Kosten</t>
  </si>
  <si>
    <t>Desksharing/BR</t>
  </si>
  <si>
    <t>Drewes, Katja</t>
  </si>
  <si>
    <t>Mutterschutz, NB abgegeben?</t>
  </si>
  <si>
    <t>inkls. Dockingstation Desktopersatz! Ehemals Krämer</t>
  </si>
  <si>
    <t>AWOHN-NB200103</t>
  </si>
  <si>
    <t>Winkler, Thomas</t>
  </si>
  <si>
    <t>T460</t>
  </si>
  <si>
    <t>PC-0EMMBE 16/08</t>
  </si>
  <si>
    <t>JH/Quartierszentrum</t>
  </si>
  <si>
    <t>inkls. LTE (Dockingstaion noch in EDV)</t>
  </si>
  <si>
    <t>AWOHN-NB200101</t>
  </si>
  <si>
    <t>Krämer, Ralf</t>
  </si>
  <si>
    <t>PC-0EMMLK 16/08</t>
  </si>
  <si>
    <t>Inkls. LTE und Dockingstaion</t>
  </si>
  <si>
    <t>AWOHN-TAB200201</t>
  </si>
  <si>
    <t>Galaxy Tab A</t>
  </si>
  <si>
    <t>R52MC0S5Y6V</t>
  </si>
  <si>
    <t>Android</t>
  </si>
  <si>
    <t>Mediamarkt</t>
  </si>
  <si>
    <t>AWOHN-TAB200202</t>
  </si>
  <si>
    <t>AWOHN-TAB200203</t>
  </si>
  <si>
    <t>Kita Bö</t>
  </si>
  <si>
    <t>Kita HKH</t>
  </si>
  <si>
    <t>Brumann, Rebecca</t>
  </si>
  <si>
    <t>R52MC0S5RFY</t>
  </si>
  <si>
    <t>Wolay, Esther</t>
  </si>
  <si>
    <t>R52MC0S5DFR</t>
  </si>
  <si>
    <t>AWOHN-PC200201</t>
  </si>
  <si>
    <t>CZC3113F4P</t>
  </si>
  <si>
    <t>Kita Boe</t>
  </si>
  <si>
    <t>AWO-HN-NB12</t>
  </si>
  <si>
    <t>L3-BCE5L 08/12</t>
  </si>
  <si>
    <t>JH/Stedi</t>
  </si>
  <si>
    <t>Wormser, Julia</t>
  </si>
  <si>
    <t>Nummer Intern</t>
  </si>
  <si>
    <t>Nummer Extern</t>
  </si>
  <si>
    <t>IMEI 1</t>
  </si>
  <si>
    <t>IMEI 2</t>
  </si>
  <si>
    <t>SIM-Kartennummer</t>
  </si>
  <si>
    <t>Vertragspartner</t>
  </si>
  <si>
    <t>Größe</t>
  </si>
  <si>
    <t>Anschlüsse</t>
  </si>
  <si>
    <t>Telefonnummer</t>
  </si>
  <si>
    <t>Desktops</t>
  </si>
  <si>
    <t>Inv_Nr</t>
  </si>
  <si>
    <t>Kst_1</t>
  </si>
  <si>
    <t>Kst_2</t>
  </si>
  <si>
    <t>Kst_3</t>
  </si>
  <si>
    <t>Seriennummer</t>
  </si>
  <si>
    <t>Haendler</t>
  </si>
  <si>
    <t>Kaufdatum</t>
  </si>
  <si>
    <t>Letzte_Wartung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</si>
</sst>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&quot;€&quot;_-;\-* #,##0.00\ &quot;€&quot;_-;_-* &quot;-&quot;??\ &quot;€&quot;_-;_-@_-"/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64" fontId="0" fillId="0" borderId="0" xfId="1" applyFont="1"/>
  </cellXfs>
  <cellStyles count="2">
    <cellStyle name="Standard" xfId="0" builtinId="0"/>
    <cellStyle name="Währung" xfId="1" builtinId="4"/>
  </cellStyles>
  <dxfs count="4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0\ &quot;€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0\ &quot;€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le2" displayName="Tabelle2" ref="A1:Q1048573" totalsRowShown="0" headerRowDxfId="43" dataDxfId="42">
  <autoFilter ref="A1:Q1048573"/>
  <sortState ref="A2:Q45">
    <sortCondition ref="A1:A1048573"/>
  </sortState>
  <tableColumns count="17">
    <tableColumn id="2" name="Inv_Nr" dataDxfId="41"/>
    <tableColumn id="3" name="Beschreibung" dataDxfId="40"/>
    <tableColumn id="12" name="Benutzer" dataDxfId="39"/>
    <tableColumn id="15" name="Kst_1" dataDxfId="38"/>
    <tableColumn id="16" name="Kst_2" dataDxfId="37"/>
    <tableColumn id="17" name="Kst_3" dataDxfId="36"/>
    <tableColumn id="4" name="Marke" dataDxfId="35"/>
    <tableColumn id="5" name="Model" dataDxfId="34"/>
    <tableColumn id="6" name="Seriennummer" dataDxfId="33"/>
    <tableColumn id="10" name="VPN" dataDxfId="32"/>
    <tableColumn id="13" name="OS" dataDxfId="31"/>
    <tableColumn id="7" name="Haendler" dataDxfId="30"/>
    <tableColumn id="8" name="Kaufdatum" dataDxfId="29"/>
    <tableColumn id="18" name="EK-Kosten" dataDxfId="28"/>
    <tableColumn id="9" name="Letzte_Wartung" dataDxfId="27"/>
    <tableColumn id="14" name="Einsatzort" dataDxfId="26"/>
    <tableColumn id="11" name="Bemerkungen" dataDxfId="2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5" name="Tabelle26" displayName="Tabelle26" ref="A1:Q1048569" totalsRowShown="0" headerRowDxfId="24" dataDxfId="23">
  <autoFilter ref="A1:Q1048569"/>
  <sortState ref="A2:Q35">
    <sortCondition ref="B1:B1048575"/>
  </sortState>
  <tableColumns count="17">
    <tableColumn id="2" name="Inv_Nr" dataDxfId="22"/>
    <tableColumn id="3" name="Beschreibung" dataDxfId="21"/>
    <tableColumn id="12" name="Benutzer" dataDxfId="20"/>
    <tableColumn id="1" name="Kst_1" dataDxfId="19"/>
    <tableColumn id="15" name="Kst_2" dataDxfId="18"/>
    <tableColumn id="16" name="Kst_3" dataDxfId="17"/>
    <tableColumn id="4" name="Marke" dataDxfId="16"/>
    <tableColumn id="5" name="Model" dataDxfId="15"/>
    <tableColumn id="6" name="Seriennummer" dataDxfId="14"/>
    <tableColumn id="10" name="VPN" dataDxfId="13"/>
    <tableColumn id="13" name="OS" dataDxfId="12"/>
    <tableColumn id="7" name="Gekauft bei" dataDxfId="11"/>
    <tableColumn id="8" name="Gekauft am" dataDxfId="10"/>
    <tableColumn id="17" name="EK-Kosten" dataDxfId="9"/>
    <tableColumn id="9" name="Letzte Wartung" dataDxfId="8"/>
    <tableColumn id="14" name="Einsatzort" dataDxfId="7"/>
    <tableColumn id="11" name="Bemerkungen" dataDxfId="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1" name="Tabelle1" displayName="Tabelle1" ref="A1:R356" totalsRowShown="0" headerRowDxfId="5">
  <autoFilter ref="A1:R356"/>
  <tableColumns count="18">
    <tableColumn id="1" name="Inv_Nr"/>
    <tableColumn id="2" name="Beschreibung"/>
    <tableColumn id="3" name="Benutzer"/>
    <tableColumn id="4" name="Kst_1"/>
    <tableColumn id="5" name="Kst_2"/>
    <tableColumn id="6" name="Kst_3"/>
    <tableColumn id="7" name="Marke"/>
    <tableColumn id="8" name="Model"/>
    <tableColumn id="9" name="Seriennummer"/>
    <tableColumn id="11" name="OS"/>
    <tableColumn id="12" name="Gekauft bei"/>
    <tableColumn id="13" name="Gekauft am"/>
    <tableColumn id="14" name="EK-Kosten"/>
    <tableColumn id="15" name="Letzte Wartung"/>
    <tableColumn id="19" name="Nummer Extern"/>
    <tableColumn id="18" name="Nummer Intern"/>
    <tableColumn id="16" name="Einsatzort"/>
    <tableColumn id="17" name="Bemerkungen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3" name="Tabelle3" displayName="Tabelle3" ref="A1:S1048576" totalsRowShown="0" headerRowDxfId="4">
  <autoFilter ref="A1:S1048576"/>
  <tableColumns count="19">
    <tableColumn id="1" name="Inv_Nr"/>
    <tableColumn id="2" name="Beschreibung"/>
    <tableColumn id="3" name="Benutzer"/>
    <tableColumn id="4" name="Kst_1"/>
    <tableColumn id="5" name="Kst_2"/>
    <tableColumn id="6" name="Kst_3"/>
    <tableColumn id="7" name="Marke"/>
    <tableColumn id="8" name="Model"/>
    <tableColumn id="9" name="OS"/>
    <tableColumn id="10" name="Gekauft bei"/>
    <tableColumn id="11" name="Gekauft am"/>
    <tableColumn id="12" name="EK-Kosten"/>
    <tableColumn id="13" name="Letzte Wartung"/>
    <tableColumn id="14" name="Telefonnummer"/>
    <tableColumn id="15" name="IMEI 1"/>
    <tableColumn id="16" name="IMEI 2"/>
    <tableColumn id="17" name="SIM-Kartennummer"/>
    <tableColumn id="18" name="Vertragspartner"/>
    <tableColumn id="19" name="Bemerkungen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id="4" name="Tabelle4" displayName="Tabelle4" ref="A1:Q1048576" totalsRowShown="0" headerRowDxfId="3">
  <autoFilter ref="A1:Q1048576"/>
  <tableColumns count="17">
    <tableColumn id="1" name="Inv_Nr"/>
    <tableColumn id="2" name="Beschreibung"/>
    <tableColumn id="3" name="Benutzer"/>
    <tableColumn id="4" name="Kst_1"/>
    <tableColumn id="5" name="Kst_2"/>
    <tableColumn id="6" name="Kst_3"/>
    <tableColumn id="7" name="Marke"/>
    <tableColumn id="8" name="Model"/>
    <tableColumn id="9" name="Seriennummer"/>
    <tableColumn id="10" name="Größe"/>
    <tableColumn id="11" name="Gekauft bei"/>
    <tableColumn id="12" name="Gekauft am"/>
    <tableColumn id="13" name="EK-Kosten"/>
    <tableColumn id="14" name="Letzte Wartung"/>
    <tableColumn id="16" name="Anschlüsse"/>
    <tableColumn id="17" name="Einsatzort"/>
    <tableColumn id="18" name="Bemerkungen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id="6" name="Tabelle6" displayName="Tabelle6" ref="A1:Q1048576" totalsRowShown="0" headerRowDxfId="2">
  <autoFilter ref="A1:Q1048576"/>
  <tableColumns count="17">
    <tableColumn id="1" name="Inv_Nr"/>
    <tableColumn id="2" name="Beschreibung"/>
    <tableColumn id="3" name="Benutzer"/>
    <tableColumn id="4" name="Kst_1"/>
    <tableColumn id="5" name="Kst_2"/>
    <tableColumn id="6" name="Kst_3"/>
    <tableColumn id="7" name="Marke"/>
    <tableColumn id="8" name="Model"/>
    <tableColumn id="9" name="Seriennummer"/>
    <tableColumn id="10" name="Größe"/>
    <tableColumn id="11" name="Gekauft bei"/>
    <tableColumn id="12" name="Gekauft am"/>
    <tableColumn id="13" name="EK-Kosten"/>
    <tableColumn id="14" name="Letzte Wartung"/>
    <tableColumn id="15" name="Anschlüsse"/>
    <tableColumn id="16" name="Einsatzort"/>
    <tableColumn id="17" name="Bemerkungen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id="7" name="Tabelle7" displayName="Tabelle7" ref="A1:Q1048576" totalsRowShown="0" headerRowDxfId="1">
  <autoFilter ref="A1:Q1048576"/>
  <tableColumns count="17">
    <tableColumn id="1" name="Inv_Nr"/>
    <tableColumn id="2" name="Beschreibung"/>
    <tableColumn id="3" name="Benutzer"/>
    <tableColumn id="4" name="Kst_1"/>
    <tableColumn id="5" name="Kst_2"/>
    <tableColumn id="6" name="Kst_3"/>
    <tableColumn id="7" name="Marke"/>
    <tableColumn id="8" name="Model"/>
    <tableColumn id="9" name="Seriennummer"/>
    <tableColumn id="10" name="Größe"/>
    <tableColumn id="11" name="Gekauft bei"/>
    <tableColumn id="12" name="Gekauft am"/>
    <tableColumn id="13" name="EK-Kosten"/>
    <tableColumn id="14" name="Letzte Wartung"/>
    <tableColumn id="15" name="Anschlüsse"/>
    <tableColumn id="16" name="Einsatzort"/>
    <tableColumn id="17" name="Bemerkungen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id="8" name="Tabelle8" displayName="Tabelle8" ref="A1:V1048576" totalsRowShown="0" headerRowDxfId="0">
  <autoFilter ref="A1:V1048576"/>
  <tableColumns count="22">
    <tableColumn id="1" name="Inv_Nr"/>
    <tableColumn id="2" name="Beschreibung"/>
    <tableColumn id="3" name="Benutzer"/>
    <tableColumn id="4" name="Kst_1"/>
    <tableColumn id="5" name="Kst_2"/>
    <tableColumn id="6" name="Kst_3"/>
    <tableColumn id="7" name="Marke"/>
    <tableColumn id="8" name="Model"/>
    <tableColumn id="9" name="Seriennummer"/>
    <tableColumn id="10" name="VPN"/>
    <tableColumn id="11" name="OS"/>
    <tableColumn id="12" name="Gekauft bei"/>
    <tableColumn id="13" name="Gekauft am"/>
    <tableColumn id="14" name="EK-Kosten"/>
    <tableColumn id="15" name="Letzte Wartung"/>
    <tableColumn id="19" name="Telefonnummer"/>
    <tableColumn id="20" name="IMEI 1"/>
    <tableColumn id="21" name="IMEI 2"/>
    <tableColumn id="22" name="SIM-Kartennummer"/>
    <tableColumn id="23" name="Vertragspartner"/>
    <tableColumn id="16" name="Einsatzort"/>
    <tableColumn id="17" name="Bemerkunge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abSelected="1" workbookViewId="0">
      <selection activeCell="N2" sqref="N2"/>
    </sheetView>
  </sheetViews>
  <sheetFormatPr baseColWidth="10" defaultColWidth="9.109375" defaultRowHeight="14.4" x14ac:dyDescent="0.3"/>
  <cols>
    <col min="1" max="1" width="19.88671875" style="1" customWidth="1"/>
    <col min="2" max="2" width="15.109375" style="1" customWidth="1"/>
    <col min="3" max="3" width="20.33203125" style="1" bestFit="1" customWidth="1"/>
    <col min="4" max="6" width="7.88671875" style="1" bestFit="1" customWidth="1"/>
    <col min="7" max="7" width="8.5546875" style="1" customWidth="1"/>
    <col min="8" max="8" width="17.5546875" style="1" customWidth="1"/>
    <col min="9" max="9" width="16.44140625" style="1" bestFit="1" customWidth="1"/>
    <col min="10" max="10" width="7.109375" style="1" customWidth="1"/>
    <col min="11" max="11" width="6.6640625" style="1" customWidth="1"/>
    <col min="12" max="12" width="13.33203125" style="1" customWidth="1"/>
    <col min="13" max="13" width="13.109375" style="1" customWidth="1"/>
    <col min="14" max="14" width="12.109375" style="5" bestFit="1" customWidth="1"/>
    <col min="15" max="15" width="16.44140625" style="1" customWidth="1"/>
    <col min="16" max="16" width="20.109375" style="1" customWidth="1"/>
    <col min="17" max="17" width="36.33203125" style="1" customWidth="1"/>
  </cols>
  <sheetData>
    <row r="1" spans="1:17" s="3" customFormat="1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284</v>
      </c>
      <c r="J1" s="3" t="s">
        <v>7</v>
      </c>
      <c r="K1" s="3" t="s">
        <v>16</v>
      </c>
      <c r="L1" s="3" t="s">
        <v>285</v>
      </c>
      <c r="M1" s="3" t="s">
        <v>286</v>
      </c>
      <c r="N1" s="4" t="s">
        <v>235</v>
      </c>
      <c r="O1" s="3" t="s">
        <v>287</v>
      </c>
      <c r="P1" s="3" t="s">
        <v>56</v>
      </c>
      <c r="Q1" s="3" t="s">
        <v>6</v>
      </c>
    </row>
    <row r="2" spans="1:17" x14ac:dyDescent="0.3">
      <c r="A2" s="1" t="s">
        <v>93</v>
      </c>
      <c r="B2" s="1" t="s">
        <v>25</v>
      </c>
      <c r="C2" s="1" t="s">
        <v>94</v>
      </c>
      <c r="D2" s="1">
        <v>100</v>
      </c>
      <c r="G2" s="1" t="s">
        <v>27</v>
      </c>
      <c r="H2" s="1" t="s">
        <v>95</v>
      </c>
      <c r="I2" s="1" t="s">
        <v>96</v>
      </c>
      <c r="J2" s="1" t="s">
        <v>30</v>
      </c>
      <c r="K2" s="1" t="s">
        <v>17</v>
      </c>
      <c r="L2" s="1" t="s">
        <v>12</v>
      </c>
      <c r="O2" s="2">
        <v>43508</v>
      </c>
      <c r="P2" s="1" t="s">
        <v>99</v>
      </c>
    </row>
    <row r="3" spans="1:17" x14ac:dyDescent="0.3">
      <c r="A3" s="1" t="s">
        <v>163</v>
      </c>
      <c r="B3" s="1" t="s">
        <v>25</v>
      </c>
      <c r="C3" s="1" t="s">
        <v>53</v>
      </c>
      <c r="G3" s="1" t="s">
        <v>106</v>
      </c>
      <c r="H3" s="1" t="s">
        <v>107</v>
      </c>
      <c r="I3" s="1" t="s">
        <v>11</v>
      </c>
      <c r="J3" s="1" t="s">
        <v>30</v>
      </c>
      <c r="K3" s="1" t="s">
        <v>17</v>
      </c>
      <c r="L3" s="1" t="s">
        <v>106</v>
      </c>
      <c r="O3" s="2">
        <v>43517</v>
      </c>
      <c r="P3" s="1" t="s">
        <v>115</v>
      </c>
    </row>
    <row r="4" spans="1:17" x14ac:dyDescent="0.3">
      <c r="A4" s="1" t="s">
        <v>177</v>
      </c>
      <c r="B4" s="1" t="s">
        <v>25</v>
      </c>
      <c r="C4" s="1" t="s">
        <v>78</v>
      </c>
      <c r="G4" s="1" t="s">
        <v>11</v>
      </c>
      <c r="H4" s="1" t="s">
        <v>11</v>
      </c>
      <c r="I4" s="1" t="s">
        <v>11</v>
      </c>
      <c r="J4" s="1" t="s">
        <v>30</v>
      </c>
      <c r="K4" s="1" t="s">
        <v>17</v>
      </c>
      <c r="O4" s="2">
        <v>43566</v>
      </c>
      <c r="P4" s="1" t="s">
        <v>137</v>
      </c>
    </row>
    <row r="5" spans="1:17" x14ac:dyDescent="0.3">
      <c r="A5" s="1" t="s">
        <v>164</v>
      </c>
      <c r="B5" s="1" t="s">
        <v>25</v>
      </c>
      <c r="C5" s="1" t="s">
        <v>165</v>
      </c>
      <c r="D5" s="1">
        <v>500</v>
      </c>
      <c r="G5" s="1" t="s">
        <v>106</v>
      </c>
      <c r="H5" s="1" t="s">
        <v>107</v>
      </c>
      <c r="I5" s="1" t="s">
        <v>11</v>
      </c>
      <c r="J5" s="1" t="s">
        <v>30</v>
      </c>
      <c r="K5" s="1" t="s">
        <v>17</v>
      </c>
      <c r="L5" s="1" t="s">
        <v>106</v>
      </c>
      <c r="O5" s="2">
        <v>43516</v>
      </c>
      <c r="P5" s="1" t="s">
        <v>115</v>
      </c>
    </row>
    <row r="6" spans="1:17" x14ac:dyDescent="0.3">
      <c r="A6" s="1" t="s">
        <v>178</v>
      </c>
      <c r="B6" s="1" t="s">
        <v>25</v>
      </c>
      <c r="C6" s="1" t="s">
        <v>78</v>
      </c>
      <c r="G6" s="1" t="s">
        <v>11</v>
      </c>
      <c r="H6" s="1" t="s">
        <v>11</v>
      </c>
      <c r="I6" s="1" t="s">
        <v>11</v>
      </c>
      <c r="J6" s="1" t="s">
        <v>30</v>
      </c>
      <c r="K6" s="1" t="s">
        <v>17</v>
      </c>
      <c r="O6" s="2">
        <v>43566</v>
      </c>
      <c r="P6" s="1" t="s">
        <v>137</v>
      </c>
    </row>
    <row r="7" spans="1:17" x14ac:dyDescent="0.3">
      <c r="A7" s="1" t="s">
        <v>179</v>
      </c>
      <c r="B7" s="1" t="s">
        <v>25</v>
      </c>
      <c r="C7" s="1" t="s">
        <v>78</v>
      </c>
      <c r="G7" s="1" t="s">
        <v>11</v>
      </c>
      <c r="H7" s="1" t="s">
        <v>11</v>
      </c>
      <c r="I7" s="1" t="s">
        <v>11</v>
      </c>
      <c r="J7" s="1" t="s">
        <v>30</v>
      </c>
      <c r="K7" s="1" t="s">
        <v>17</v>
      </c>
      <c r="O7" s="2">
        <v>43566</v>
      </c>
      <c r="P7" s="1" t="s">
        <v>137</v>
      </c>
    </row>
    <row r="8" spans="1:17" x14ac:dyDescent="0.3">
      <c r="A8" s="1" t="s">
        <v>113</v>
      </c>
      <c r="B8" s="1" t="s">
        <v>25</v>
      </c>
      <c r="C8" s="1" t="s">
        <v>114</v>
      </c>
      <c r="D8" s="1">
        <v>555</v>
      </c>
      <c r="E8" s="1">
        <v>575</v>
      </c>
      <c r="G8" s="1" t="s">
        <v>106</v>
      </c>
      <c r="H8" s="1" t="s">
        <v>107</v>
      </c>
      <c r="I8" s="1" t="s">
        <v>11</v>
      </c>
      <c r="J8" s="1" t="s">
        <v>30</v>
      </c>
      <c r="K8" s="1" t="s">
        <v>17</v>
      </c>
      <c r="L8" s="1" t="s">
        <v>106</v>
      </c>
      <c r="O8" s="2">
        <v>43517</v>
      </c>
      <c r="P8" s="1" t="s">
        <v>115</v>
      </c>
    </row>
    <row r="9" spans="1:17" x14ac:dyDescent="0.3">
      <c r="A9" s="1" t="s">
        <v>166</v>
      </c>
      <c r="B9" s="1" t="s">
        <v>25</v>
      </c>
      <c r="C9" s="1" t="s">
        <v>46</v>
      </c>
      <c r="D9" s="1">
        <v>100</v>
      </c>
      <c r="G9" s="1" t="s">
        <v>106</v>
      </c>
      <c r="H9" s="1" t="s">
        <v>107</v>
      </c>
      <c r="I9" s="1" t="s">
        <v>11</v>
      </c>
      <c r="J9" s="1" t="s">
        <v>30</v>
      </c>
      <c r="K9" s="1" t="s">
        <v>17</v>
      </c>
      <c r="L9" s="1" t="s">
        <v>106</v>
      </c>
      <c r="O9" s="2">
        <v>43150</v>
      </c>
      <c r="P9" s="1" t="s">
        <v>73</v>
      </c>
    </row>
    <row r="10" spans="1:17" x14ac:dyDescent="0.3">
      <c r="A10" s="1" t="s">
        <v>24</v>
      </c>
      <c r="B10" s="1" t="s">
        <v>25</v>
      </c>
      <c r="C10" s="1" t="s">
        <v>26</v>
      </c>
      <c r="D10" s="1">
        <v>300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17</v>
      </c>
      <c r="L10" s="1" t="s">
        <v>12</v>
      </c>
      <c r="O10" s="2">
        <v>43494</v>
      </c>
      <c r="P10" s="2" t="s">
        <v>74</v>
      </c>
    </row>
    <row r="11" spans="1:17" x14ac:dyDescent="0.3">
      <c r="A11" s="1" t="s">
        <v>176</v>
      </c>
      <c r="B11" s="1" t="s">
        <v>25</v>
      </c>
      <c r="C11" s="1" t="s">
        <v>69</v>
      </c>
      <c r="D11" s="1">
        <v>100</v>
      </c>
      <c r="G11" s="1" t="s">
        <v>106</v>
      </c>
      <c r="H11" s="1" t="s">
        <v>107</v>
      </c>
      <c r="I11" s="1" t="s">
        <v>11</v>
      </c>
      <c r="J11" s="1" t="s">
        <v>30</v>
      </c>
      <c r="K11" s="1" t="s">
        <v>17</v>
      </c>
      <c r="O11" s="2">
        <v>43593</v>
      </c>
      <c r="P11" s="1" t="s">
        <v>72</v>
      </c>
    </row>
    <row r="12" spans="1:17" x14ac:dyDescent="0.3">
      <c r="A12" s="1" t="s">
        <v>31</v>
      </c>
      <c r="B12" s="1" t="s">
        <v>25</v>
      </c>
      <c r="C12" s="1" t="s">
        <v>32</v>
      </c>
      <c r="D12" s="1">
        <v>300</v>
      </c>
      <c r="G12" s="1" t="s">
        <v>27</v>
      </c>
      <c r="H12" s="1" t="s">
        <v>33</v>
      </c>
      <c r="I12" s="1" t="s">
        <v>11</v>
      </c>
      <c r="J12" s="1" t="s">
        <v>30</v>
      </c>
      <c r="K12" s="1" t="s">
        <v>17</v>
      </c>
      <c r="L12" s="1" t="s">
        <v>12</v>
      </c>
      <c r="O12" s="2">
        <v>43487</v>
      </c>
      <c r="P12" s="2" t="s">
        <v>74</v>
      </c>
    </row>
    <row r="13" spans="1:17" x14ac:dyDescent="0.3">
      <c r="A13" s="1" t="s">
        <v>68</v>
      </c>
      <c r="B13" s="1" t="s">
        <v>25</v>
      </c>
      <c r="C13" s="1" t="s">
        <v>78</v>
      </c>
      <c r="G13" s="1" t="s">
        <v>27</v>
      </c>
      <c r="H13" s="1" t="s">
        <v>70</v>
      </c>
      <c r="I13" s="1" t="s">
        <v>71</v>
      </c>
      <c r="J13" s="1" t="s">
        <v>30</v>
      </c>
      <c r="K13" s="1" t="s">
        <v>17</v>
      </c>
      <c r="L13" s="1" t="s">
        <v>12</v>
      </c>
      <c r="O13" s="2">
        <v>43419</v>
      </c>
      <c r="P13" s="1" t="s">
        <v>137</v>
      </c>
      <c r="Q13" s="1" t="s">
        <v>180</v>
      </c>
    </row>
    <row r="14" spans="1:17" x14ac:dyDescent="0.3">
      <c r="A14" s="1" t="s">
        <v>97</v>
      </c>
      <c r="B14" s="1" t="s">
        <v>25</v>
      </c>
      <c r="C14" s="1" t="s">
        <v>98</v>
      </c>
      <c r="D14" s="1">
        <v>400</v>
      </c>
      <c r="G14" s="1" t="s">
        <v>27</v>
      </c>
      <c r="H14" s="1" t="s">
        <v>95</v>
      </c>
      <c r="I14" s="1" t="s">
        <v>11</v>
      </c>
      <c r="J14" s="1" t="s">
        <v>30</v>
      </c>
      <c r="K14" s="1" t="s">
        <v>17</v>
      </c>
      <c r="L14" s="1" t="s">
        <v>12</v>
      </c>
      <c r="M14" s="2">
        <v>43494</v>
      </c>
      <c r="N14" s="5">
        <v>159</v>
      </c>
      <c r="O14" s="2">
        <v>43508</v>
      </c>
      <c r="P14" s="1" t="s">
        <v>99</v>
      </c>
    </row>
    <row r="15" spans="1:17" x14ac:dyDescent="0.3">
      <c r="A15" s="1" t="s">
        <v>125</v>
      </c>
      <c r="B15" s="1" t="s">
        <v>25</v>
      </c>
      <c r="C15" s="1" t="s">
        <v>116</v>
      </c>
      <c r="G15" s="1" t="s">
        <v>27</v>
      </c>
      <c r="H15" s="1" t="s">
        <v>33</v>
      </c>
      <c r="I15" s="1" t="s">
        <v>112</v>
      </c>
      <c r="J15" s="1" t="s">
        <v>30</v>
      </c>
      <c r="K15" s="1" t="s">
        <v>17</v>
      </c>
      <c r="L15" s="1" t="s">
        <v>12</v>
      </c>
      <c r="M15" s="1" t="s">
        <v>11</v>
      </c>
      <c r="O15" s="2">
        <v>43517</v>
      </c>
      <c r="P15" s="1" t="s">
        <v>115</v>
      </c>
    </row>
    <row r="16" spans="1:17" x14ac:dyDescent="0.3">
      <c r="A16" s="1" t="s">
        <v>111</v>
      </c>
      <c r="B16" s="1" t="s">
        <v>25</v>
      </c>
      <c r="C16" s="1" t="s">
        <v>126</v>
      </c>
      <c r="D16" s="1">
        <v>570</v>
      </c>
      <c r="G16" s="1" t="s">
        <v>39</v>
      </c>
      <c r="H16" s="1" t="s">
        <v>127</v>
      </c>
      <c r="I16" s="1" t="s">
        <v>128</v>
      </c>
      <c r="J16" s="1" t="s">
        <v>30</v>
      </c>
      <c r="K16" s="1" t="s">
        <v>17</v>
      </c>
      <c r="L16" s="1" t="s">
        <v>12</v>
      </c>
      <c r="M16" s="1" t="s">
        <v>11</v>
      </c>
      <c r="O16" s="2">
        <v>43516</v>
      </c>
      <c r="P16" s="1" t="s">
        <v>115</v>
      </c>
    </row>
    <row r="17" spans="1:17" x14ac:dyDescent="0.3">
      <c r="A17" s="1" t="s">
        <v>117</v>
      </c>
      <c r="B17" s="1" t="s">
        <v>25</v>
      </c>
      <c r="C17" s="1" t="s">
        <v>118</v>
      </c>
      <c r="D17" s="1">
        <v>580</v>
      </c>
      <c r="E17" s="1">
        <v>582</v>
      </c>
      <c r="F17" s="1">
        <v>584</v>
      </c>
      <c r="G17" s="1" t="s">
        <v>27</v>
      </c>
      <c r="H17" s="1" t="s">
        <v>95</v>
      </c>
      <c r="I17" s="1" t="s">
        <v>11</v>
      </c>
      <c r="J17" s="1" t="s">
        <v>30</v>
      </c>
      <c r="K17" s="1" t="s">
        <v>17</v>
      </c>
      <c r="L17" s="1" t="s">
        <v>12</v>
      </c>
      <c r="M17" s="2">
        <v>43511</v>
      </c>
      <c r="N17" s="5">
        <v>159</v>
      </c>
      <c r="O17" s="2">
        <v>43611</v>
      </c>
      <c r="P17" s="1" t="s">
        <v>57</v>
      </c>
    </row>
    <row r="18" spans="1:17" x14ac:dyDescent="0.3">
      <c r="A18" s="1" t="s">
        <v>119</v>
      </c>
      <c r="B18" s="1" t="s">
        <v>25</v>
      </c>
      <c r="C18" s="1" t="s">
        <v>236</v>
      </c>
      <c r="G18" s="1" t="s">
        <v>27</v>
      </c>
      <c r="H18" s="1" t="s">
        <v>95</v>
      </c>
      <c r="I18" s="1" t="s">
        <v>11</v>
      </c>
      <c r="J18" s="1" t="s">
        <v>30</v>
      </c>
      <c r="K18" s="1" t="s">
        <v>17</v>
      </c>
      <c r="L18" s="1" t="s">
        <v>12</v>
      </c>
      <c r="M18" s="2">
        <v>43511</v>
      </c>
      <c r="N18" s="5">
        <v>159</v>
      </c>
      <c r="O18" s="2">
        <v>43611</v>
      </c>
      <c r="P18" s="1" t="s">
        <v>57</v>
      </c>
      <c r="Q18" s="1" t="s">
        <v>133</v>
      </c>
    </row>
    <row r="19" spans="1:17" x14ac:dyDescent="0.3">
      <c r="A19" s="1" t="s">
        <v>120</v>
      </c>
      <c r="B19" s="1" t="s">
        <v>25</v>
      </c>
      <c r="C19" s="1" t="s">
        <v>174</v>
      </c>
      <c r="G19" s="1" t="s">
        <v>27</v>
      </c>
      <c r="H19" s="1" t="s">
        <v>95</v>
      </c>
      <c r="I19" s="1" t="s">
        <v>175</v>
      </c>
      <c r="J19" s="1" t="s">
        <v>30</v>
      </c>
      <c r="K19" s="1" t="s">
        <v>17</v>
      </c>
      <c r="L19" s="1" t="s">
        <v>12</v>
      </c>
      <c r="M19" s="2">
        <v>43511</v>
      </c>
      <c r="N19" s="5">
        <v>159</v>
      </c>
      <c r="O19" s="2">
        <v>43611</v>
      </c>
      <c r="P19" s="1" t="s">
        <v>57</v>
      </c>
      <c r="Q19" s="1" t="s">
        <v>133</v>
      </c>
    </row>
    <row r="20" spans="1:17" x14ac:dyDescent="0.3">
      <c r="A20" s="1" t="s">
        <v>134</v>
      </c>
      <c r="B20" s="1" t="s">
        <v>25</v>
      </c>
      <c r="C20" s="1" t="s">
        <v>78</v>
      </c>
      <c r="G20" s="1" t="s">
        <v>39</v>
      </c>
      <c r="H20" s="1" t="s">
        <v>135</v>
      </c>
      <c r="I20" s="1" t="s">
        <v>136</v>
      </c>
      <c r="J20" s="1" t="s">
        <v>30</v>
      </c>
      <c r="K20" s="1" t="s">
        <v>17</v>
      </c>
      <c r="L20" s="1" t="s">
        <v>12</v>
      </c>
      <c r="M20" s="2">
        <v>43509</v>
      </c>
      <c r="N20" s="5">
        <v>199</v>
      </c>
      <c r="O20" s="2">
        <v>43523</v>
      </c>
      <c r="P20" s="1" t="s">
        <v>137</v>
      </c>
    </row>
    <row r="21" spans="1:17" x14ac:dyDescent="0.3">
      <c r="A21" s="1" t="s">
        <v>141</v>
      </c>
      <c r="B21" s="1" t="s">
        <v>25</v>
      </c>
      <c r="C21" s="1" t="s">
        <v>78</v>
      </c>
      <c r="G21" s="1" t="s">
        <v>39</v>
      </c>
      <c r="H21" s="1" t="s">
        <v>135</v>
      </c>
      <c r="I21" s="1" t="s">
        <v>142</v>
      </c>
      <c r="J21" s="1" t="s">
        <v>30</v>
      </c>
      <c r="K21" s="1" t="s">
        <v>17</v>
      </c>
      <c r="L21" s="1" t="s">
        <v>12</v>
      </c>
      <c r="M21" s="2">
        <v>43509</v>
      </c>
      <c r="N21" s="5">
        <v>199</v>
      </c>
      <c r="O21" s="2">
        <v>43523</v>
      </c>
      <c r="P21" s="1" t="s">
        <v>137</v>
      </c>
    </row>
    <row r="22" spans="1:17" x14ac:dyDescent="0.3">
      <c r="A22" s="1" t="s">
        <v>143</v>
      </c>
      <c r="B22" s="1" t="s">
        <v>25</v>
      </c>
      <c r="C22" s="1" t="s">
        <v>78</v>
      </c>
      <c r="G22" s="1" t="s">
        <v>39</v>
      </c>
      <c r="H22" s="1" t="s">
        <v>135</v>
      </c>
      <c r="I22" s="1" t="s">
        <v>11</v>
      </c>
      <c r="J22" s="1" t="s">
        <v>30</v>
      </c>
      <c r="K22" s="1" t="s">
        <v>17</v>
      </c>
      <c r="L22" s="1" t="s">
        <v>12</v>
      </c>
      <c r="M22" s="2">
        <v>43509</v>
      </c>
      <c r="N22" s="5">
        <v>199</v>
      </c>
      <c r="O22" s="2">
        <v>43523</v>
      </c>
      <c r="P22" s="1" t="s">
        <v>137</v>
      </c>
    </row>
    <row r="23" spans="1:17" x14ac:dyDescent="0.3">
      <c r="A23" s="1" t="s">
        <v>155</v>
      </c>
      <c r="B23" s="1" t="s">
        <v>25</v>
      </c>
      <c r="C23" s="1" t="s">
        <v>78</v>
      </c>
      <c r="G23" s="1" t="s">
        <v>39</v>
      </c>
      <c r="H23" s="1" t="s">
        <v>92</v>
      </c>
      <c r="I23" s="1" t="s">
        <v>159</v>
      </c>
      <c r="J23" s="1" t="s">
        <v>30</v>
      </c>
      <c r="K23" s="1" t="s">
        <v>17</v>
      </c>
      <c r="L23" s="1" t="s">
        <v>12</v>
      </c>
      <c r="M23" s="2">
        <v>43539</v>
      </c>
      <c r="N23" s="5">
        <v>199</v>
      </c>
      <c r="O23" s="2">
        <v>43566</v>
      </c>
      <c r="P23" s="1" t="s">
        <v>137</v>
      </c>
    </row>
    <row r="24" spans="1:17" x14ac:dyDescent="0.3">
      <c r="A24" s="1" t="s">
        <v>156</v>
      </c>
      <c r="B24" s="1" t="s">
        <v>25</v>
      </c>
      <c r="C24" s="1" t="s">
        <v>78</v>
      </c>
      <c r="G24" s="1" t="s">
        <v>39</v>
      </c>
      <c r="H24" s="1" t="s">
        <v>92</v>
      </c>
      <c r="I24" s="1" t="s">
        <v>160</v>
      </c>
      <c r="J24" s="1" t="s">
        <v>30</v>
      </c>
      <c r="K24" s="1" t="s">
        <v>17</v>
      </c>
      <c r="L24" s="1" t="s">
        <v>12</v>
      </c>
      <c r="M24" s="2">
        <v>43539</v>
      </c>
      <c r="N24" s="5">
        <v>199</v>
      </c>
      <c r="O24" s="2">
        <v>43566</v>
      </c>
      <c r="P24" s="1" t="s">
        <v>137</v>
      </c>
    </row>
    <row r="25" spans="1:17" x14ac:dyDescent="0.3">
      <c r="A25" s="1" t="s">
        <v>157</v>
      </c>
      <c r="B25" s="1" t="s">
        <v>25</v>
      </c>
      <c r="C25" s="1" t="s">
        <v>78</v>
      </c>
      <c r="G25" s="1" t="s">
        <v>39</v>
      </c>
      <c r="H25" s="1" t="s">
        <v>92</v>
      </c>
      <c r="I25" s="1" t="s">
        <v>161</v>
      </c>
      <c r="J25" s="1" t="s">
        <v>30</v>
      </c>
      <c r="K25" s="1" t="s">
        <v>17</v>
      </c>
      <c r="L25" s="1" t="s">
        <v>12</v>
      </c>
      <c r="M25" s="2">
        <v>43539</v>
      </c>
      <c r="N25" s="5">
        <v>199</v>
      </c>
      <c r="O25" s="2">
        <v>43566</v>
      </c>
      <c r="P25" s="1" t="s">
        <v>137</v>
      </c>
    </row>
    <row r="26" spans="1:17" x14ac:dyDescent="0.3">
      <c r="A26" s="1" t="s">
        <v>158</v>
      </c>
      <c r="B26" s="1" t="s">
        <v>25</v>
      </c>
      <c r="C26" s="1" t="s">
        <v>78</v>
      </c>
      <c r="G26" s="1" t="s">
        <v>39</v>
      </c>
      <c r="H26" s="1" t="s">
        <v>92</v>
      </c>
      <c r="I26" s="1" t="s">
        <v>162</v>
      </c>
      <c r="J26" s="1" t="s">
        <v>30</v>
      </c>
      <c r="K26" s="1" t="s">
        <v>17</v>
      </c>
      <c r="L26" s="1" t="s">
        <v>12</v>
      </c>
      <c r="M26" s="2">
        <v>43539</v>
      </c>
      <c r="N26" s="5">
        <v>199</v>
      </c>
      <c r="O26" s="2">
        <v>43566</v>
      </c>
      <c r="P26" s="1" t="s">
        <v>137</v>
      </c>
    </row>
    <row r="27" spans="1:17" x14ac:dyDescent="0.3">
      <c r="A27" s="1" t="s">
        <v>232</v>
      </c>
      <c r="B27" s="1" t="s">
        <v>25</v>
      </c>
      <c r="C27" s="1" t="s">
        <v>78</v>
      </c>
      <c r="D27" s="1">
        <v>550</v>
      </c>
      <c r="G27" s="1" t="s">
        <v>39</v>
      </c>
      <c r="H27" s="1" t="s">
        <v>233</v>
      </c>
      <c r="I27" s="1" t="s">
        <v>234</v>
      </c>
      <c r="J27" s="1" t="s">
        <v>30</v>
      </c>
      <c r="K27" s="1" t="s">
        <v>17</v>
      </c>
      <c r="L27" s="1" t="s">
        <v>228</v>
      </c>
      <c r="N27" s="5">
        <v>40</v>
      </c>
      <c r="O27" s="2">
        <v>43862</v>
      </c>
      <c r="P27" s="1" t="s">
        <v>229</v>
      </c>
    </row>
    <row r="28" spans="1:17" x14ac:dyDescent="0.3">
      <c r="A28" s="1" t="s">
        <v>225</v>
      </c>
      <c r="B28" s="1" t="s">
        <v>25</v>
      </c>
      <c r="C28" s="1" t="s">
        <v>78</v>
      </c>
      <c r="D28" s="1">
        <v>550</v>
      </c>
      <c r="G28" s="1" t="s">
        <v>39</v>
      </c>
      <c r="H28" s="1" t="s">
        <v>226</v>
      </c>
      <c r="I28" s="1" t="s">
        <v>227</v>
      </c>
      <c r="J28" s="1" t="s">
        <v>30</v>
      </c>
      <c r="K28" s="1" t="s">
        <v>17</v>
      </c>
      <c r="L28" s="1" t="s">
        <v>228</v>
      </c>
      <c r="N28" s="5">
        <v>40</v>
      </c>
      <c r="O28" s="2">
        <v>43862</v>
      </c>
      <c r="P28" s="1" t="s">
        <v>229</v>
      </c>
    </row>
    <row r="29" spans="1:17" x14ac:dyDescent="0.3">
      <c r="A29" s="1" t="s">
        <v>230</v>
      </c>
      <c r="B29" s="1" t="s">
        <v>25</v>
      </c>
      <c r="C29" s="1" t="s">
        <v>78</v>
      </c>
      <c r="D29" s="1">
        <v>550</v>
      </c>
      <c r="G29" s="1" t="s">
        <v>39</v>
      </c>
      <c r="H29" s="1" t="s">
        <v>226</v>
      </c>
      <c r="I29" s="1" t="s">
        <v>231</v>
      </c>
      <c r="J29" s="1" t="s">
        <v>30</v>
      </c>
      <c r="K29" s="1" t="s">
        <v>17</v>
      </c>
      <c r="L29" s="1" t="s">
        <v>228</v>
      </c>
      <c r="N29" s="5">
        <v>40</v>
      </c>
      <c r="O29" s="2">
        <v>43862</v>
      </c>
      <c r="P29" s="1" t="s">
        <v>229</v>
      </c>
    </row>
    <row r="30" spans="1:17" x14ac:dyDescent="0.3">
      <c r="A30" s="1" t="s">
        <v>263</v>
      </c>
      <c r="B30" s="1" t="s">
        <v>25</v>
      </c>
      <c r="C30" s="1" t="s">
        <v>78</v>
      </c>
      <c r="D30" s="1">
        <v>580</v>
      </c>
      <c r="G30" s="1" t="s">
        <v>27</v>
      </c>
      <c r="H30" s="1" t="s">
        <v>36</v>
      </c>
      <c r="I30" s="1" t="s">
        <v>264</v>
      </c>
      <c r="J30" s="1" t="s">
        <v>30</v>
      </c>
      <c r="K30" s="1" t="s">
        <v>17</v>
      </c>
      <c r="O30" s="2">
        <v>43880</v>
      </c>
      <c r="P30" s="1" t="s">
        <v>265</v>
      </c>
    </row>
    <row r="31" spans="1:17" x14ac:dyDescent="0.3">
      <c r="A31" s="1" t="s">
        <v>34</v>
      </c>
      <c r="B31" s="1" t="s">
        <v>25</v>
      </c>
      <c r="C31" s="1" t="s">
        <v>35</v>
      </c>
      <c r="D31" s="1">
        <v>100</v>
      </c>
      <c r="G31" s="1" t="s">
        <v>27</v>
      </c>
      <c r="H31" s="1" t="s">
        <v>36</v>
      </c>
      <c r="I31" s="1" t="s">
        <v>11</v>
      </c>
      <c r="J31" s="1" t="s">
        <v>30</v>
      </c>
      <c r="K31" s="1" t="s">
        <v>17</v>
      </c>
      <c r="L31" s="1" t="s">
        <v>12</v>
      </c>
      <c r="O31" s="2">
        <v>43494</v>
      </c>
      <c r="P31" s="2" t="s">
        <v>57</v>
      </c>
    </row>
    <row r="32" spans="1:17" x14ac:dyDescent="0.3">
      <c r="A32" s="1" t="s">
        <v>87</v>
      </c>
      <c r="B32" s="1" t="s">
        <v>25</v>
      </c>
      <c r="C32" s="1" t="s">
        <v>55</v>
      </c>
      <c r="D32" s="1">
        <v>800</v>
      </c>
      <c r="E32" s="1">
        <v>575</v>
      </c>
      <c r="G32" s="1" t="s">
        <v>39</v>
      </c>
      <c r="H32" s="1" t="s">
        <v>40</v>
      </c>
      <c r="I32" s="1" t="s">
        <v>11</v>
      </c>
      <c r="J32" s="1" t="s">
        <v>30</v>
      </c>
      <c r="K32" s="1" t="s">
        <v>17</v>
      </c>
      <c r="L32" s="1" t="s">
        <v>12</v>
      </c>
      <c r="O32" s="2">
        <v>43503</v>
      </c>
      <c r="P32" s="1" t="s">
        <v>88</v>
      </c>
    </row>
    <row r="33" spans="1:17" x14ac:dyDescent="0.3">
      <c r="A33" s="1" t="s">
        <v>37</v>
      </c>
      <c r="B33" s="1" t="s">
        <v>25</v>
      </c>
      <c r="C33" s="1" t="s">
        <v>38</v>
      </c>
      <c r="D33" s="1">
        <v>420</v>
      </c>
      <c r="G33" s="1" t="s">
        <v>39</v>
      </c>
      <c r="H33" s="1" t="s">
        <v>40</v>
      </c>
      <c r="I33" s="1" t="s">
        <v>11</v>
      </c>
      <c r="J33" s="1" t="s">
        <v>30</v>
      </c>
      <c r="K33" s="1" t="s">
        <v>17</v>
      </c>
      <c r="L33" s="1" t="s">
        <v>12</v>
      </c>
      <c r="O33" s="2">
        <v>43494</v>
      </c>
      <c r="P33" s="2" t="s">
        <v>57</v>
      </c>
    </row>
    <row r="34" spans="1:17" x14ac:dyDescent="0.3">
      <c r="A34" s="1" t="s">
        <v>41</v>
      </c>
      <c r="B34" s="1" t="s">
        <v>25</v>
      </c>
      <c r="C34" s="1" t="s">
        <v>42</v>
      </c>
      <c r="D34" s="1">
        <v>520</v>
      </c>
      <c r="G34" s="1" t="s">
        <v>27</v>
      </c>
      <c r="H34" s="1" t="s">
        <v>70</v>
      </c>
      <c r="I34" s="1" t="s">
        <v>11</v>
      </c>
      <c r="J34" s="1" t="s">
        <v>30</v>
      </c>
      <c r="K34" s="1" t="s">
        <v>17</v>
      </c>
      <c r="L34" s="1" t="s">
        <v>12</v>
      </c>
      <c r="O34" s="2">
        <v>43433</v>
      </c>
      <c r="P34" s="2" t="s">
        <v>58</v>
      </c>
    </row>
    <row r="35" spans="1:17" x14ac:dyDescent="0.3">
      <c r="A35" s="1" t="s">
        <v>173</v>
      </c>
      <c r="B35" s="1" t="s">
        <v>25</v>
      </c>
      <c r="C35" s="1" t="s">
        <v>78</v>
      </c>
      <c r="G35" s="1" t="s">
        <v>27</v>
      </c>
      <c r="H35" s="1" t="s">
        <v>70</v>
      </c>
      <c r="I35" s="1" t="s">
        <v>11</v>
      </c>
      <c r="J35" s="1" t="s">
        <v>30</v>
      </c>
      <c r="K35" s="1" t="s">
        <v>17</v>
      </c>
      <c r="L35" s="1" t="s">
        <v>12</v>
      </c>
      <c r="O35" s="2">
        <v>43580</v>
      </c>
      <c r="P35" s="1" t="s">
        <v>137</v>
      </c>
    </row>
    <row r="36" spans="1:17" x14ac:dyDescent="0.3">
      <c r="A36" s="1" t="s">
        <v>84</v>
      </c>
      <c r="B36" s="1" t="s">
        <v>25</v>
      </c>
      <c r="C36" s="1" t="s">
        <v>205</v>
      </c>
      <c r="D36" s="1">
        <v>582</v>
      </c>
      <c r="G36" s="1" t="s">
        <v>79</v>
      </c>
      <c r="H36" s="1" t="s">
        <v>80</v>
      </c>
      <c r="I36" s="1" t="s">
        <v>11</v>
      </c>
      <c r="J36" s="1" t="s">
        <v>30</v>
      </c>
      <c r="K36" s="1" t="s">
        <v>17</v>
      </c>
      <c r="L36" s="1" t="s">
        <v>12</v>
      </c>
      <c r="O36" s="2">
        <v>43445</v>
      </c>
      <c r="P36" s="1" t="s">
        <v>206</v>
      </c>
    </row>
    <row r="37" spans="1:17" x14ac:dyDescent="0.3">
      <c r="A37" s="1" t="s">
        <v>77</v>
      </c>
      <c r="B37" s="1" t="s">
        <v>25</v>
      </c>
      <c r="C37" s="1" t="s">
        <v>210</v>
      </c>
      <c r="D37" s="1">
        <v>580</v>
      </c>
      <c r="G37" s="1" t="s">
        <v>79</v>
      </c>
      <c r="H37" s="1" t="s">
        <v>80</v>
      </c>
      <c r="I37" s="1" t="s">
        <v>11</v>
      </c>
      <c r="J37" s="1" t="s">
        <v>30</v>
      </c>
      <c r="K37" s="1" t="s">
        <v>17</v>
      </c>
      <c r="L37" s="1" t="s">
        <v>12</v>
      </c>
      <c r="O37" s="2">
        <v>43872</v>
      </c>
      <c r="P37" s="1" t="s">
        <v>207</v>
      </c>
      <c r="Q37" s="1" t="s">
        <v>204</v>
      </c>
    </row>
    <row r="38" spans="1:17" x14ac:dyDescent="0.3">
      <c r="A38" s="1" t="s">
        <v>43</v>
      </c>
      <c r="B38" s="1" t="s">
        <v>25</v>
      </c>
      <c r="C38" s="1" t="s">
        <v>42</v>
      </c>
      <c r="D38" s="1">
        <v>520</v>
      </c>
      <c r="G38" s="1" t="s">
        <v>79</v>
      </c>
      <c r="H38" s="1" t="s">
        <v>80</v>
      </c>
      <c r="I38" s="1" t="s">
        <v>11</v>
      </c>
      <c r="J38" s="1" t="s">
        <v>30</v>
      </c>
      <c r="K38" s="1" t="s">
        <v>17</v>
      </c>
      <c r="L38" s="1" t="s">
        <v>12</v>
      </c>
      <c r="O38" s="2">
        <v>43433</v>
      </c>
      <c r="P38" s="2" t="s">
        <v>58</v>
      </c>
    </row>
    <row r="39" spans="1:17" x14ac:dyDescent="0.3">
      <c r="A39" s="1" t="s">
        <v>44</v>
      </c>
      <c r="B39" s="1" t="s">
        <v>25</v>
      </c>
      <c r="C39" s="1" t="s">
        <v>42</v>
      </c>
      <c r="D39" s="1">
        <v>520</v>
      </c>
      <c r="G39" s="1" t="s">
        <v>79</v>
      </c>
      <c r="H39" s="1" t="s">
        <v>80</v>
      </c>
      <c r="I39" s="1" t="s">
        <v>11</v>
      </c>
      <c r="J39" s="1" t="s">
        <v>30</v>
      </c>
      <c r="K39" s="1" t="s">
        <v>17</v>
      </c>
      <c r="L39" s="1" t="s">
        <v>12</v>
      </c>
      <c r="O39" s="2">
        <v>43433</v>
      </c>
      <c r="P39" s="2" t="s">
        <v>58</v>
      </c>
    </row>
    <row r="40" spans="1:17" x14ac:dyDescent="0.3">
      <c r="A40" s="1" t="s">
        <v>45</v>
      </c>
      <c r="B40" s="1" t="s">
        <v>25</v>
      </c>
      <c r="C40" s="1" t="s">
        <v>46</v>
      </c>
      <c r="D40" s="1">
        <v>100</v>
      </c>
      <c r="G40" s="1" t="s">
        <v>39</v>
      </c>
      <c r="H40" s="1" t="s">
        <v>40</v>
      </c>
      <c r="I40" s="1" t="s">
        <v>11</v>
      </c>
      <c r="J40" s="1" t="s">
        <v>30</v>
      </c>
      <c r="K40" s="1" t="s">
        <v>17</v>
      </c>
      <c r="L40" s="1" t="s">
        <v>12</v>
      </c>
      <c r="O40" s="2">
        <v>43452</v>
      </c>
      <c r="P40" s="2" t="s">
        <v>73</v>
      </c>
    </row>
    <row r="41" spans="1:17" x14ac:dyDescent="0.3">
      <c r="A41" s="1" t="s">
        <v>81</v>
      </c>
      <c r="B41" s="1" t="s">
        <v>25</v>
      </c>
      <c r="C41" s="1" t="s">
        <v>78</v>
      </c>
      <c r="G41" s="1" t="s">
        <v>39</v>
      </c>
      <c r="H41" s="1" t="s">
        <v>40</v>
      </c>
      <c r="I41" s="1" t="s">
        <v>11</v>
      </c>
      <c r="J41" s="1" t="s">
        <v>30</v>
      </c>
      <c r="K41" s="1" t="s">
        <v>17</v>
      </c>
      <c r="L41" s="1" t="s">
        <v>12</v>
      </c>
      <c r="O41" s="2">
        <v>43435</v>
      </c>
      <c r="P41" s="1" t="s">
        <v>57</v>
      </c>
    </row>
    <row r="42" spans="1:17" x14ac:dyDescent="0.3">
      <c r="A42" s="1" t="s">
        <v>82</v>
      </c>
      <c r="B42" s="1" t="s">
        <v>25</v>
      </c>
      <c r="C42" s="1" t="s">
        <v>78</v>
      </c>
      <c r="G42" s="1" t="s">
        <v>39</v>
      </c>
      <c r="H42" s="1" t="s">
        <v>40</v>
      </c>
      <c r="I42" s="1" t="s">
        <v>11</v>
      </c>
      <c r="J42" s="1" t="s">
        <v>30</v>
      </c>
      <c r="K42" s="1" t="s">
        <v>17</v>
      </c>
      <c r="L42" s="1" t="s">
        <v>12</v>
      </c>
      <c r="O42" s="2">
        <v>43435</v>
      </c>
      <c r="P42" s="1" t="s">
        <v>57</v>
      </c>
    </row>
    <row r="43" spans="1:17" x14ac:dyDescent="0.3">
      <c r="A43" s="1" t="s">
        <v>83</v>
      </c>
      <c r="B43" s="1" t="s">
        <v>25</v>
      </c>
      <c r="C43" s="1" t="s">
        <v>78</v>
      </c>
      <c r="G43" s="1" t="s">
        <v>39</v>
      </c>
      <c r="H43" s="1" t="s">
        <v>40</v>
      </c>
      <c r="I43" s="1" t="s">
        <v>11</v>
      </c>
      <c r="J43" s="1" t="s">
        <v>30</v>
      </c>
      <c r="K43" s="1" t="s">
        <v>17</v>
      </c>
      <c r="L43" s="1" t="s">
        <v>12</v>
      </c>
      <c r="O43" s="2">
        <v>43435</v>
      </c>
      <c r="P43" s="1" t="s">
        <v>57</v>
      </c>
    </row>
    <row r="44" spans="1:17" x14ac:dyDescent="0.3">
      <c r="A44" s="1" t="s">
        <v>48</v>
      </c>
      <c r="B44" s="1" t="s">
        <v>25</v>
      </c>
      <c r="C44" s="1" t="s">
        <v>47</v>
      </c>
      <c r="D44" s="1">
        <v>100</v>
      </c>
      <c r="G44" s="1" t="s">
        <v>39</v>
      </c>
      <c r="H44" s="1" t="s">
        <v>40</v>
      </c>
      <c r="I44" s="1" t="s">
        <v>11</v>
      </c>
      <c r="J44" s="1" t="s">
        <v>30</v>
      </c>
      <c r="K44" s="1" t="s">
        <v>17</v>
      </c>
      <c r="L44" s="1" t="s">
        <v>12</v>
      </c>
      <c r="O44" s="2">
        <v>43445</v>
      </c>
      <c r="P44" s="2" t="s">
        <v>72</v>
      </c>
    </row>
    <row r="45" spans="1:17" x14ac:dyDescent="0.3">
      <c r="A45" s="1" t="s">
        <v>85</v>
      </c>
      <c r="B45" s="1" t="s">
        <v>25</v>
      </c>
      <c r="C45" s="1" t="s">
        <v>21</v>
      </c>
      <c r="D45" s="1">
        <v>100</v>
      </c>
      <c r="G45" s="1" t="s">
        <v>39</v>
      </c>
      <c r="H45" s="1" t="s">
        <v>92</v>
      </c>
      <c r="I45" s="1" t="s">
        <v>11</v>
      </c>
      <c r="J45" s="1" t="s">
        <v>30</v>
      </c>
      <c r="K45" s="1" t="s">
        <v>17</v>
      </c>
      <c r="L45" s="1" t="s">
        <v>12</v>
      </c>
      <c r="O45" s="2">
        <v>43445</v>
      </c>
      <c r="P45" s="1" t="s">
        <v>86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selection activeCell="I1" sqref="I1"/>
    </sheetView>
  </sheetViews>
  <sheetFormatPr baseColWidth="10" defaultColWidth="9.109375" defaultRowHeight="14.4" x14ac:dyDescent="0.3"/>
  <cols>
    <col min="1" max="1" width="19.88671875" style="1" customWidth="1"/>
    <col min="2" max="2" width="15.109375" style="1" customWidth="1"/>
    <col min="3" max="3" width="25.5546875" style="1" customWidth="1"/>
    <col min="4" max="4" width="15.6640625" style="1" bestFit="1" customWidth="1"/>
    <col min="5" max="6" width="15.6640625" style="1" customWidth="1"/>
    <col min="7" max="7" width="8.5546875" style="1" customWidth="1"/>
    <col min="8" max="8" width="20.5546875" style="1" bestFit="1" customWidth="1"/>
    <col min="9" max="9" width="17.5546875" style="1" bestFit="1" customWidth="1"/>
    <col min="10" max="10" width="7.109375" style="1" customWidth="1"/>
    <col min="11" max="11" width="8.109375" style="1" bestFit="1" customWidth="1"/>
    <col min="12" max="12" width="13.33203125" style="1" customWidth="1"/>
    <col min="13" max="13" width="13.109375" style="1" customWidth="1"/>
    <col min="14" max="14" width="12.109375" style="5" bestFit="1" customWidth="1"/>
    <col min="15" max="15" width="16.44140625" style="1" customWidth="1"/>
    <col min="16" max="16" width="23.109375" style="1" bestFit="1" customWidth="1"/>
    <col min="17" max="17" width="48.5546875" style="1" bestFit="1" customWidth="1"/>
  </cols>
  <sheetData>
    <row r="1" spans="1:17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284</v>
      </c>
      <c r="J1" s="3" t="s">
        <v>7</v>
      </c>
      <c r="K1" s="3" t="s">
        <v>16</v>
      </c>
      <c r="L1" s="3" t="s">
        <v>3</v>
      </c>
      <c r="M1" s="3" t="s">
        <v>4</v>
      </c>
      <c r="N1" s="4" t="s">
        <v>235</v>
      </c>
      <c r="O1" s="3" t="s">
        <v>5</v>
      </c>
      <c r="P1" s="3" t="s">
        <v>56</v>
      </c>
      <c r="Q1" s="3" t="s">
        <v>6</v>
      </c>
    </row>
    <row r="2" spans="1:17" x14ac:dyDescent="0.3">
      <c r="A2" s="1" t="s">
        <v>187</v>
      </c>
      <c r="B2" s="1" t="s">
        <v>9</v>
      </c>
      <c r="C2" s="1" t="s">
        <v>188</v>
      </c>
      <c r="G2" s="1" t="s">
        <v>10</v>
      </c>
      <c r="H2" s="1" t="s">
        <v>167</v>
      </c>
      <c r="I2" s="1" t="s">
        <v>11</v>
      </c>
      <c r="J2" s="1" t="s">
        <v>11</v>
      </c>
      <c r="K2" s="1" t="s">
        <v>189</v>
      </c>
      <c r="L2" s="1" t="s">
        <v>11</v>
      </c>
      <c r="M2" s="1" t="s">
        <v>11</v>
      </c>
      <c r="O2" s="2">
        <v>43621</v>
      </c>
      <c r="P2" s="1" t="s">
        <v>188</v>
      </c>
      <c r="Q2" s="1" t="s">
        <v>190</v>
      </c>
    </row>
    <row r="3" spans="1:17" x14ac:dyDescent="0.3">
      <c r="A3" s="1" t="s">
        <v>54</v>
      </c>
      <c r="B3" s="1" t="s">
        <v>9</v>
      </c>
      <c r="C3" s="1" t="s">
        <v>55</v>
      </c>
      <c r="D3" s="1">
        <v>800</v>
      </c>
      <c r="G3" s="1" t="s">
        <v>79</v>
      </c>
      <c r="H3" s="1" t="s">
        <v>146</v>
      </c>
      <c r="J3" s="1" t="s">
        <v>13</v>
      </c>
      <c r="K3" s="1" t="s">
        <v>17</v>
      </c>
      <c r="L3" s="1" t="s">
        <v>12</v>
      </c>
      <c r="O3" s="2">
        <v>43433</v>
      </c>
      <c r="P3" s="2" t="s">
        <v>61</v>
      </c>
      <c r="Q3" s="1" t="s">
        <v>171</v>
      </c>
    </row>
    <row r="4" spans="1:17" x14ac:dyDescent="0.3">
      <c r="A4" s="1" t="s">
        <v>104</v>
      </c>
      <c r="B4" s="1" t="s">
        <v>9</v>
      </c>
      <c r="C4" s="1" t="s">
        <v>55</v>
      </c>
      <c r="D4" s="1">
        <v>800</v>
      </c>
      <c r="G4" s="1" t="s">
        <v>10</v>
      </c>
      <c r="H4" s="1" t="s">
        <v>66</v>
      </c>
      <c r="I4" s="1" t="s">
        <v>105</v>
      </c>
      <c r="J4" s="1" t="s">
        <v>13</v>
      </c>
      <c r="K4" s="1" t="s">
        <v>17</v>
      </c>
      <c r="L4" s="1" t="s">
        <v>12</v>
      </c>
      <c r="M4" s="1" t="s">
        <v>11</v>
      </c>
      <c r="O4" s="2">
        <v>43510</v>
      </c>
      <c r="P4" s="1" t="s">
        <v>61</v>
      </c>
      <c r="Q4" s="1" t="s">
        <v>172</v>
      </c>
    </row>
    <row r="5" spans="1:17" x14ac:dyDescent="0.3">
      <c r="A5" s="1" t="s">
        <v>100</v>
      </c>
      <c r="B5" s="1" t="s">
        <v>9</v>
      </c>
      <c r="C5" s="1" t="s">
        <v>101</v>
      </c>
      <c r="D5" s="1">
        <v>555</v>
      </c>
      <c r="E5" s="1">
        <v>575</v>
      </c>
      <c r="G5" s="1" t="s">
        <v>79</v>
      </c>
      <c r="H5" s="1" t="s">
        <v>102</v>
      </c>
      <c r="J5" s="1" t="s">
        <v>13</v>
      </c>
      <c r="K5" s="1" t="s">
        <v>17</v>
      </c>
      <c r="L5" s="1" t="s">
        <v>12</v>
      </c>
      <c r="M5" s="1" t="s">
        <v>11</v>
      </c>
      <c r="O5" s="2">
        <v>43509</v>
      </c>
      <c r="P5" s="1" t="s">
        <v>59</v>
      </c>
      <c r="Q5" s="1" t="s">
        <v>103</v>
      </c>
    </row>
    <row r="6" spans="1:17" x14ac:dyDescent="0.3">
      <c r="A6" s="1" t="s">
        <v>8</v>
      </c>
      <c r="B6" s="1" t="s">
        <v>9</v>
      </c>
      <c r="C6" s="1" t="s">
        <v>15</v>
      </c>
      <c r="D6" s="1">
        <v>910</v>
      </c>
      <c r="E6" s="1">
        <v>900</v>
      </c>
      <c r="F6" s="1">
        <v>560</v>
      </c>
      <c r="G6" s="1" t="s">
        <v>10</v>
      </c>
      <c r="H6" s="1" t="s">
        <v>11</v>
      </c>
      <c r="I6" s="1" t="s">
        <v>11</v>
      </c>
      <c r="J6" s="1" t="s">
        <v>13</v>
      </c>
      <c r="K6" s="1" t="s">
        <v>17</v>
      </c>
      <c r="L6" s="1" t="s">
        <v>12</v>
      </c>
      <c r="M6" s="1" t="s">
        <v>11</v>
      </c>
      <c r="O6" s="2">
        <v>43405</v>
      </c>
      <c r="P6" s="2" t="s">
        <v>59</v>
      </c>
    </row>
    <row r="7" spans="1:17" x14ac:dyDescent="0.3">
      <c r="A7" s="1" t="s">
        <v>147</v>
      </c>
      <c r="B7" s="1" t="s">
        <v>9</v>
      </c>
      <c r="C7" s="1" t="s">
        <v>148</v>
      </c>
      <c r="G7" s="1" t="s">
        <v>149</v>
      </c>
      <c r="H7" s="1" t="s">
        <v>11</v>
      </c>
      <c r="I7" s="1" t="s">
        <v>11</v>
      </c>
      <c r="J7" s="1" t="s">
        <v>13</v>
      </c>
      <c r="K7" s="1" t="s">
        <v>17</v>
      </c>
      <c r="L7" s="1" t="s">
        <v>11</v>
      </c>
      <c r="M7" s="1" t="s">
        <v>11</v>
      </c>
      <c r="O7" s="2">
        <v>43565</v>
      </c>
      <c r="P7" s="1" t="s">
        <v>59</v>
      </c>
      <c r="Q7" s="1" t="s">
        <v>150</v>
      </c>
    </row>
    <row r="8" spans="1:17" x14ac:dyDescent="0.3">
      <c r="A8" s="1" t="s">
        <v>184</v>
      </c>
      <c r="B8" s="1" t="s">
        <v>9</v>
      </c>
      <c r="C8" s="1" t="s">
        <v>148</v>
      </c>
      <c r="G8" s="1" t="s">
        <v>79</v>
      </c>
      <c r="H8" s="1" t="s">
        <v>146</v>
      </c>
      <c r="I8" s="1" t="s">
        <v>185</v>
      </c>
      <c r="J8" s="1" t="s">
        <v>13</v>
      </c>
      <c r="K8" s="1" t="s">
        <v>17</v>
      </c>
      <c r="L8" s="1" t="s">
        <v>12</v>
      </c>
      <c r="M8" s="1" t="s">
        <v>11</v>
      </c>
      <c r="O8" s="2">
        <v>43621</v>
      </c>
      <c r="P8" s="1" t="s">
        <v>59</v>
      </c>
      <c r="Q8" s="1" t="s">
        <v>186</v>
      </c>
    </row>
    <row r="9" spans="1:17" x14ac:dyDescent="0.3">
      <c r="A9" s="1" t="s">
        <v>240</v>
      </c>
      <c r="B9" s="1" t="s">
        <v>9</v>
      </c>
      <c r="C9" s="1" t="s">
        <v>241</v>
      </c>
      <c r="D9" s="1">
        <v>910</v>
      </c>
      <c r="G9" s="1" t="s">
        <v>10</v>
      </c>
      <c r="H9" s="1" t="s">
        <v>242</v>
      </c>
      <c r="I9" s="1" t="s">
        <v>243</v>
      </c>
      <c r="J9" s="1" t="s">
        <v>13</v>
      </c>
      <c r="K9" s="1" t="s">
        <v>17</v>
      </c>
      <c r="L9" s="1" t="s">
        <v>12</v>
      </c>
      <c r="M9" s="2">
        <v>43854</v>
      </c>
      <c r="N9" s="5">
        <v>469</v>
      </c>
      <c r="O9" s="2">
        <v>43862</v>
      </c>
      <c r="P9" s="1" t="s">
        <v>244</v>
      </c>
      <c r="Q9" s="1" t="s">
        <v>245</v>
      </c>
    </row>
    <row r="10" spans="1:17" x14ac:dyDescent="0.3">
      <c r="A10" s="1" t="s">
        <v>266</v>
      </c>
      <c r="B10" s="1" t="s">
        <v>9</v>
      </c>
      <c r="C10" s="1" t="s">
        <v>116</v>
      </c>
      <c r="D10" s="1">
        <v>500</v>
      </c>
      <c r="E10" s="1">
        <v>555</v>
      </c>
      <c r="G10" s="1" t="s">
        <v>10</v>
      </c>
      <c r="H10" s="1" t="s">
        <v>75</v>
      </c>
      <c r="I10" s="1" t="s">
        <v>267</v>
      </c>
      <c r="J10" s="1" t="s">
        <v>13</v>
      </c>
      <c r="K10" s="1" t="s">
        <v>17</v>
      </c>
      <c r="L10" s="1" t="s">
        <v>12</v>
      </c>
      <c r="M10" s="1" t="s">
        <v>11</v>
      </c>
      <c r="O10" s="2">
        <v>43521</v>
      </c>
      <c r="P10" s="1" t="s">
        <v>268</v>
      </c>
    </row>
    <row r="11" spans="1:17" x14ac:dyDescent="0.3">
      <c r="A11" s="1" t="s">
        <v>123</v>
      </c>
      <c r="B11" s="1" t="s">
        <v>9</v>
      </c>
      <c r="C11" s="1" t="s">
        <v>237</v>
      </c>
      <c r="D11" s="1">
        <v>100</v>
      </c>
      <c r="E11" s="1">
        <v>555</v>
      </c>
      <c r="G11" s="1" t="s">
        <v>89</v>
      </c>
      <c r="H11" s="1" t="s">
        <v>90</v>
      </c>
      <c r="I11" s="1" t="s">
        <v>11</v>
      </c>
      <c r="J11" s="1" t="s">
        <v>13</v>
      </c>
      <c r="K11" s="1" t="s">
        <v>17</v>
      </c>
      <c r="L11" s="1" t="s">
        <v>12</v>
      </c>
      <c r="M11" s="1" t="s">
        <v>11</v>
      </c>
      <c r="O11" s="2">
        <v>43501</v>
      </c>
      <c r="P11" s="1" t="s">
        <v>91</v>
      </c>
    </row>
    <row r="12" spans="1:17" x14ac:dyDescent="0.3">
      <c r="A12" s="1" t="s">
        <v>19</v>
      </c>
      <c r="B12" s="1" t="s">
        <v>9</v>
      </c>
      <c r="C12" s="1" t="s">
        <v>126</v>
      </c>
      <c r="D12" s="1">
        <v>570</v>
      </c>
      <c r="E12" s="1">
        <v>555</v>
      </c>
      <c r="G12" s="1" t="s">
        <v>10</v>
      </c>
      <c r="H12" s="1" t="s">
        <v>167</v>
      </c>
      <c r="I12" s="1" t="s">
        <v>11</v>
      </c>
      <c r="J12" s="1" t="s">
        <v>13</v>
      </c>
      <c r="K12" s="1" t="s">
        <v>17</v>
      </c>
      <c r="L12" s="1" t="s">
        <v>12</v>
      </c>
      <c r="M12" s="1" t="s">
        <v>11</v>
      </c>
      <c r="O12" s="2">
        <v>43544</v>
      </c>
      <c r="P12" s="2" t="s">
        <v>91</v>
      </c>
      <c r="Q12" s="1" t="s">
        <v>129</v>
      </c>
    </row>
    <row r="13" spans="1:17" x14ac:dyDescent="0.3">
      <c r="A13" s="1" t="s">
        <v>181</v>
      </c>
      <c r="B13" s="1" t="s">
        <v>9</v>
      </c>
      <c r="C13" s="1" t="s">
        <v>182</v>
      </c>
      <c r="D13" s="1">
        <v>900</v>
      </c>
      <c r="E13" s="1">
        <v>500</v>
      </c>
      <c r="G13" s="1" t="s">
        <v>10</v>
      </c>
      <c r="H13" s="1" t="s">
        <v>75</v>
      </c>
      <c r="I13" s="1" t="s">
        <v>11</v>
      </c>
      <c r="J13" s="1" t="s">
        <v>13</v>
      </c>
      <c r="K13" s="1" t="s">
        <v>17</v>
      </c>
      <c r="L13" s="1" t="s">
        <v>12</v>
      </c>
      <c r="M13" s="1" t="s">
        <v>11</v>
      </c>
      <c r="O13" s="2">
        <v>43601</v>
      </c>
      <c r="P13" s="1" t="s">
        <v>183</v>
      </c>
    </row>
    <row r="14" spans="1:17" x14ac:dyDescent="0.3">
      <c r="A14" s="1" t="s">
        <v>211</v>
      </c>
      <c r="B14" s="1" t="s">
        <v>9</v>
      </c>
      <c r="C14" s="1" t="s">
        <v>212</v>
      </c>
      <c r="D14" s="1">
        <v>550</v>
      </c>
      <c r="E14" s="1">
        <v>575</v>
      </c>
      <c r="G14" s="1" t="s">
        <v>213</v>
      </c>
      <c r="H14" s="1" t="s">
        <v>214</v>
      </c>
      <c r="I14" s="1" t="s">
        <v>215</v>
      </c>
      <c r="J14" s="1" t="s">
        <v>13</v>
      </c>
      <c r="K14" s="1" t="s">
        <v>216</v>
      </c>
      <c r="L14" s="1" t="s">
        <v>11</v>
      </c>
      <c r="M14" s="1" t="s">
        <v>11</v>
      </c>
      <c r="O14" s="2">
        <v>43723</v>
      </c>
      <c r="P14" s="1" t="s">
        <v>217</v>
      </c>
    </row>
    <row r="15" spans="1:17" x14ac:dyDescent="0.3">
      <c r="A15" s="1" t="s">
        <v>223</v>
      </c>
      <c r="B15" s="1" t="s">
        <v>9</v>
      </c>
      <c r="C15" s="1" t="s">
        <v>152</v>
      </c>
      <c r="D15" s="1">
        <v>580</v>
      </c>
      <c r="G15" s="1" t="s">
        <v>10</v>
      </c>
      <c r="H15" s="1" t="s">
        <v>75</v>
      </c>
      <c r="I15" s="1" t="s">
        <v>224</v>
      </c>
      <c r="J15" s="1" t="s">
        <v>13</v>
      </c>
      <c r="K15" s="1" t="s">
        <v>216</v>
      </c>
      <c r="L15" s="1" t="s">
        <v>11</v>
      </c>
      <c r="M15" s="1" t="s">
        <v>11</v>
      </c>
      <c r="O15" s="2">
        <v>43770</v>
      </c>
      <c r="P15" s="1" t="s">
        <v>154</v>
      </c>
    </row>
    <row r="16" spans="1:17" x14ac:dyDescent="0.3">
      <c r="A16" s="1" t="s">
        <v>151</v>
      </c>
      <c r="B16" s="1" t="s">
        <v>9</v>
      </c>
      <c r="C16" s="1" t="s">
        <v>152</v>
      </c>
      <c r="D16" s="1">
        <v>580</v>
      </c>
      <c r="G16" s="1" t="s">
        <v>27</v>
      </c>
      <c r="H16" s="1" t="s">
        <v>153</v>
      </c>
      <c r="I16" s="1" t="s">
        <v>11</v>
      </c>
      <c r="J16" s="1" t="s">
        <v>13</v>
      </c>
      <c r="K16" s="1" t="s">
        <v>17</v>
      </c>
      <c r="L16" s="1" t="s">
        <v>12</v>
      </c>
      <c r="M16" s="1" t="s">
        <v>11</v>
      </c>
      <c r="O16" s="2">
        <v>43565</v>
      </c>
      <c r="P16" s="1" t="s">
        <v>154</v>
      </c>
      <c r="Q16" s="1" t="s">
        <v>168</v>
      </c>
    </row>
    <row r="17" spans="1:17" x14ac:dyDescent="0.3">
      <c r="A17" s="1" t="s">
        <v>130</v>
      </c>
      <c r="B17" s="1" t="s">
        <v>9</v>
      </c>
      <c r="C17" s="1" t="s">
        <v>18</v>
      </c>
      <c r="D17" s="1">
        <v>150</v>
      </c>
      <c r="G17" s="1" t="s">
        <v>10</v>
      </c>
      <c r="H17" s="1" t="s">
        <v>131</v>
      </c>
      <c r="I17" s="1" t="s">
        <v>11</v>
      </c>
      <c r="J17" s="1" t="s">
        <v>13</v>
      </c>
      <c r="K17" s="1" t="s">
        <v>17</v>
      </c>
      <c r="L17" s="1" t="s">
        <v>12</v>
      </c>
      <c r="M17" s="2">
        <v>43508</v>
      </c>
      <c r="N17" s="5">
        <v>249</v>
      </c>
      <c r="O17" s="2">
        <v>43523</v>
      </c>
      <c r="P17" s="1" t="s">
        <v>132</v>
      </c>
      <c r="Q17" s="1" t="s">
        <v>196</v>
      </c>
    </row>
    <row r="18" spans="1:17" x14ac:dyDescent="0.3">
      <c r="A18" s="1" t="s">
        <v>169</v>
      </c>
      <c r="B18" s="1" t="s">
        <v>9</v>
      </c>
      <c r="C18" s="1" t="s">
        <v>18</v>
      </c>
      <c r="D18" s="1">
        <v>150</v>
      </c>
      <c r="G18" s="1" t="s">
        <v>27</v>
      </c>
      <c r="H18" s="1" t="s">
        <v>170</v>
      </c>
      <c r="J18" s="1" t="s">
        <v>30</v>
      </c>
      <c r="K18" s="1" t="s">
        <v>17</v>
      </c>
      <c r="L18" s="1" t="s">
        <v>12</v>
      </c>
      <c r="M18" s="1" t="s">
        <v>11</v>
      </c>
      <c r="O18" s="2">
        <v>43669</v>
      </c>
      <c r="P18" s="1" t="s">
        <v>132</v>
      </c>
      <c r="Q18" s="1" t="s">
        <v>218</v>
      </c>
    </row>
    <row r="19" spans="1:17" x14ac:dyDescent="0.3">
      <c r="A19" s="1" t="s">
        <v>219</v>
      </c>
      <c r="B19" s="1" t="s">
        <v>9</v>
      </c>
      <c r="C19" s="1" t="s">
        <v>18</v>
      </c>
      <c r="D19" s="1">
        <v>150</v>
      </c>
      <c r="G19" s="1" t="s">
        <v>79</v>
      </c>
      <c r="H19" s="1" t="s">
        <v>220</v>
      </c>
      <c r="I19" s="1" t="s">
        <v>221</v>
      </c>
      <c r="J19" s="1" t="s">
        <v>30</v>
      </c>
      <c r="K19" s="1" t="s">
        <v>216</v>
      </c>
      <c r="L19" s="1" t="s">
        <v>11</v>
      </c>
      <c r="M19" s="1" t="s">
        <v>11</v>
      </c>
      <c r="O19" s="2">
        <v>43666</v>
      </c>
      <c r="P19" s="1" t="s">
        <v>132</v>
      </c>
      <c r="Q19" s="1" t="s">
        <v>222</v>
      </c>
    </row>
    <row r="20" spans="1:17" x14ac:dyDescent="0.3">
      <c r="A20" s="1" t="s">
        <v>64</v>
      </c>
      <c r="B20" s="1" t="s">
        <v>9</v>
      </c>
      <c r="C20" s="1" t="s">
        <v>65</v>
      </c>
      <c r="G20" s="1" t="s">
        <v>10</v>
      </c>
      <c r="H20" s="1" t="s">
        <v>66</v>
      </c>
      <c r="I20" s="1" t="s">
        <v>11</v>
      </c>
      <c r="J20" s="1" t="s">
        <v>13</v>
      </c>
      <c r="K20" s="1" t="s">
        <v>17</v>
      </c>
      <c r="L20" s="1" t="s">
        <v>12</v>
      </c>
      <c r="M20" s="1" t="s">
        <v>11</v>
      </c>
      <c r="O20" s="2">
        <v>43453</v>
      </c>
      <c r="P20" s="1" t="s">
        <v>67</v>
      </c>
      <c r="Q20" s="1" t="s">
        <v>238</v>
      </c>
    </row>
    <row r="21" spans="1:17" x14ac:dyDescent="0.3">
      <c r="A21" s="1" t="s">
        <v>124</v>
      </c>
      <c r="B21" s="1" t="s">
        <v>9</v>
      </c>
      <c r="C21" s="1" t="s">
        <v>38</v>
      </c>
      <c r="D21" s="1">
        <v>420</v>
      </c>
      <c r="G21" s="1" t="s">
        <v>27</v>
      </c>
      <c r="H21" s="1" t="s">
        <v>108</v>
      </c>
      <c r="I21" s="1" t="s">
        <v>109</v>
      </c>
      <c r="J21" s="1" t="s">
        <v>13</v>
      </c>
      <c r="K21" s="1" t="s">
        <v>17</v>
      </c>
      <c r="L21" s="1" t="s">
        <v>12</v>
      </c>
      <c r="M21" s="2">
        <v>43516</v>
      </c>
      <c r="N21" s="5">
        <v>229</v>
      </c>
      <c r="O21" s="2">
        <v>43516</v>
      </c>
      <c r="P21" s="1" t="s">
        <v>110</v>
      </c>
    </row>
    <row r="22" spans="1:17" x14ac:dyDescent="0.3">
      <c r="A22" s="1" t="s">
        <v>122</v>
      </c>
      <c r="B22" s="1" t="s">
        <v>9</v>
      </c>
      <c r="C22" s="1" t="s">
        <v>32</v>
      </c>
      <c r="D22" s="1">
        <v>300</v>
      </c>
      <c r="G22" s="1" t="s">
        <v>10</v>
      </c>
      <c r="H22" s="1" t="s">
        <v>75</v>
      </c>
      <c r="I22" s="1" t="s">
        <v>11</v>
      </c>
      <c r="J22" s="1" t="s">
        <v>13</v>
      </c>
      <c r="K22" s="1" t="s">
        <v>17</v>
      </c>
      <c r="L22" s="1" t="s">
        <v>12</v>
      </c>
      <c r="M22" s="1" t="s">
        <v>11</v>
      </c>
      <c r="O22" s="2">
        <v>43501</v>
      </c>
      <c r="P22" s="1" t="s">
        <v>76</v>
      </c>
    </row>
    <row r="23" spans="1:17" x14ac:dyDescent="0.3">
      <c r="A23" s="1" t="s">
        <v>62</v>
      </c>
      <c r="B23" s="1" t="s">
        <v>9</v>
      </c>
      <c r="C23" s="1" t="s">
        <v>42</v>
      </c>
      <c r="D23" s="1">
        <v>520</v>
      </c>
      <c r="G23" s="1" t="s">
        <v>10</v>
      </c>
      <c r="H23" s="1" t="s">
        <v>11</v>
      </c>
      <c r="I23" s="1" t="s">
        <v>11</v>
      </c>
      <c r="J23" s="1" t="s">
        <v>13</v>
      </c>
      <c r="K23" s="1" t="s">
        <v>17</v>
      </c>
      <c r="L23" s="1" t="s">
        <v>12</v>
      </c>
      <c r="M23" s="1" t="s">
        <v>11</v>
      </c>
      <c r="O23" s="2">
        <v>43433</v>
      </c>
      <c r="P23" s="1" t="s">
        <v>63</v>
      </c>
    </row>
    <row r="24" spans="1:17" x14ac:dyDescent="0.3">
      <c r="A24" s="1" t="s">
        <v>192</v>
      </c>
      <c r="B24" s="1" t="s">
        <v>9</v>
      </c>
      <c r="C24" s="1" t="s">
        <v>165</v>
      </c>
      <c r="D24" s="1">
        <v>500</v>
      </c>
      <c r="G24" s="1" t="s">
        <v>10</v>
      </c>
      <c r="H24" s="1" t="s">
        <v>193</v>
      </c>
      <c r="I24" s="1" t="s">
        <v>197</v>
      </c>
      <c r="J24" s="1" t="s">
        <v>13</v>
      </c>
      <c r="K24" s="1" t="s">
        <v>17</v>
      </c>
      <c r="L24" s="1" t="s">
        <v>12</v>
      </c>
      <c r="M24" s="2">
        <v>43666</v>
      </c>
      <c r="N24" s="5">
        <v>259</v>
      </c>
      <c r="O24" s="2">
        <v>43862</v>
      </c>
      <c r="P24" s="1" t="s">
        <v>60</v>
      </c>
      <c r="Q24" s="1" t="s">
        <v>239</v>
      </c>
    </row>
    <row r="25" spans="1:17" x14ac:dyDescent="0.3">
      <c r="A25" s="1" t="s">
        <v>199</v>
      </c>
      <c r="B25" s="1" t="s">
        <v>9</v>
      </c>
      <c r="C25" s="1" t="s">
        <v>21</v>
      </c>
      <c r="D25" s="1">
        <v>100</v>
      </c>
      <c r="G25" s="1" t="s">
        <v>10</v>
      </c>
      <c r="H25" s="1" t="s">
        <v>200</v>
      </c>
      <c r="I25" s="1" t="s">
        <v>201</v>
      </c>
      <c r="J25" s="1" t="s">
        <v>13</v>
      </c>
      <c r="K25" s="1" t="s">
        <v>17</v>
      </c>
      <c r="L25" s="1" t="s">
        <v>202</v>
      </c>
      <c r="M25" s="2">
        <v>43691</v>
      </c>
      <c r="N25" s="5">
        <v>899.9</v>
      </c>
      <c r="O25" s="2">
        <v>43702</v>
      </c>
      <c r="P25" s="1" t="s">
        <v>60</v>
      </c>
      <c r="Q25" s="1" t="s">
        <v>203</v>
      </c>
    </row>
    <row r="26" spans="1:17" x14ac:dyDescent="0.3">
      <c r="A26" s="1" t="s">
        <v>191</v>
      </c>
      <c r="B26" s="1" t="s">
        <v>9</v>
      </c>
      <c r="C26" s="1" t="s">
        <v>269</v>
      </c>
      <c r="D26" s="1">
        <v>100</v>
      </c>
      <c r="G26" s="1" t="s">
        <v>10</v>
      </c>
      <c r="H26" s="1" t="s">
        <v>193</v>
      </c>
      <c r="I26" s="1" t="s">
        <v>194</v>
      </c>
      <c r="J26" s="1" t="s">
        <v>13</v>
      </c>
      <c r="K26" s="1" t="s">
        <v>17</v>
      </c>
      <c r="L26" s="1" t="s">
        <v>12</v>
      </c>
      <c r="M26" s="2">
        <v>43666</v>
      </c>
      <c r="N26" s="5">
        <v>259</v>
      </c>
      <c r="O26" s="2">
        <v>43671</v>
      </c>
      <c r="P26" s="1" t="s">
        <v>60</v>
      </c>
      <c r="Q26" s="1" t="s">
        <v>195</v>
      </c>
    </row>
    <row r="27" spans="1:17" x14ac:dyDescent="0.3">
      <c r="A27" s="1" t="s">
        <v>246</v>
      </c>
      <c r="B27" s="1" t="s">
        <v>9</v>
      </c>
      <c r="C27" s="1" t="s">
        <v>247</v>
      </c>
      <c r="D27" s="1">
        <v>100</v>
      </c>
      <c r="G27" s="1" t="s">
        <v>10</v>
      </c>
      <c r="H27" s="1" t="s">
        <v>242</v>
      </c>
      <c r="I27" s="1" t="s">
        <v>248</v>
      </c>
      <c r="J27" s="1" t="s">
        <v>13</v>
      </c>
      <c r="K27" s="1" t="s">
        <v>17</v>
      </c>
      <c r="L27" s="1" t="s">
        <v>12</v>
      </c>
      <c r="M27" s="2">
        <v>43854</v>
      </c>
      <c r="N27" s="5">
        <v>469</v>
      </c>
      <c r="O27" s="2">
        <v>43862</v>
      </c>
      <c r="P27" s="1" t="s">
        <v>60</v>
      </c>
      <c r="Q27" s="1" t="s">
        <v>249</v>
      </c>
    </row>
    <row r="28" spans="1:17" x14ac:dyDescent="0.3">
      <c r="A28" s="1" t="s">
        <v>138</v>
      </c>
      <c r="B28" s="1" t="s">
        <v>9</v>
      </c>
      <c r="C28" s="1" t="s">
        <v>145</v>
      </c>
      <c r="D28" s="1">
        <v>100</v>
      </c>
      <c r="G28" s="1" t="s">
        <v>79</v>
      </c>
      <c r="H28" s="1" t="s">
        <v>102</v>
      </c>
      <c r="I28" s="1" t="s">
        <v>139</v>
      </c>
      <c r="J28" s="1" t="s">
        <v>13</v>
      </c>
      <c r="K28" s="1" t="s">
        <v>17</v>
      </c>
      <c r="L28" s="1" t="s">
        <v>12</v>
      </c>
      <c r="M28" s="1" t="s">
        <v>11</v>
      </c>
      <c r="O28" s="2">
        <v>43523</v>
      </c>
      <c r="P28" s="1" t="s">
        <v>60</v>
      </c>
      <c r="Q28" s="1" t="s">
        <v>140</v>
      </c>
    </row>
    <row r="29" spans="1:17" x14ac:dyDescent="0.3">
      <c r="A29" s="1" t="s">
        <v>121</v>
      </c>
      <c r="B29" s="1" t="s">
        <v>9</v>
      </c>
      <c r="C29" s="1" t="s">
        <v>145</v>
      </c>
      <c r="D29" s="1">
        <v>100</v>
      </c>
      <c r="G29" s="1" t="s">
        <v>10</v>
      </c>
      <c r="H29" s="1" t="s">
        <v>66</v>
      </c>
      <c r="I29" s="1" t="s">
        <v>144</v>
      </c>
      <c r="J29" s="1" t="s">
        <v>13</v>
      </c>
      <c r="K29" s="1" t="s">
        <v>17</v>
      </c>
      <c r="L29" s="1" t="s">
        <v>12</v>
      </c>
      <c r="M29" s="1" t="s">
        <v>11</v>
      </c>
      <c r="O29" s="2">
        <v>43523</v>
      </c>
      <c r="P29" s="1" t="s">
        <v>60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selection activeCell="I1" sqref="I1"/>
    </sheetView>
  </sheetViews>
  <sheetFormatPr baseColWidth="10" defaultColWidth="9.109375" defaultRowHeight="14.4" x14ac:dyDescent="0.3"/>
  <cols>
    <col min="1" max="1" width="16.44140625" customWidth="1"/>
    <col min="2" max="2" width="15.109375" bestFit="1" customWidth="1"/>
    <col min="3" max="3" width="11.109375" bestFit="1" customWidth="1"/>
    <col min="4" max="4" width="15.6640625" bestFit="1" customWidth="1"/>
    <col min="5" max="6" width="15.5546875" customWidth="1"/>
    <col min="9" max="9" width="16.44140625" bestFit="1" customWidth="1"/>
    <col min="11" max="11" width="13.33203125" customWidth="1"/>
    <col min="12" max="12" width="13.44140625" bestFit="1" customWidth="1"/>
    <col min="13" max="13" width="12.109375" bestFit="1" customWidth="1"/>
    <col min="14" max="14" width="16.6640625" bestFit="1" customWidth="1"/>
    <col min="15" max="15" width="17.109375" bestFit="1" customWidth="1"/>
    <col min="16" max="16" width="16.6640625" customWidth="1"/>
    <col min="17" max="17" width="11.6640625" customWidth="1"/>
    <col min="18" max="18" width="15.44140625" customWidth="1"/>
  </cols>
  <sheetData>
    <row r="1" spans="1:18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284</v>
      </c>
      <c r="J1" s="3" t="s">
        <v>16</v>
      </c>
      <c r="K1" s="3" t="s">
        <v>3</v>
      </c>
      <c r="L1" s="3" t="s">
        <v>4</v>
      </c>
      <c r="M1" s="4" t="s">
        <v>235</v>
      </c>
      <c r="N1" s="3" t="s">
        <v>5</v>
      </c>
      <c r="O1" t="s">
        <v>271</v>
      </c>
      <c r="P1" s="3" t="s">
        <v>270</v>
      </c>
      <c r="Q1" s="3" t="s">
        <v>56</v>
      </c>
      <c r="R1" s="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selection activeCell="G1" sqref="G1"/>
    </sheetView>
  </sheetViews>
  <sheetFormatPr baseColWidth="10" defaultRowHeight="14.4" x14ac:dyDescent="0.3"/>
  <cols>
    <col min="2" max="2" width="15" customWidth="1"/>
    <col min="4" max="6" width="15.5546875" customWidth="1"/>
    <col min="10" max="10" width="13.33203125" customWidth="1"/>
    <col min="11" max="11" width="13.109375" customWidth="1"/>
    <col min="12" max="12" width="12" customWidth="1"/>
    <col min="13" max="13" width="16.44140625" customWidth="1"/>
    <col min="14" max="14" width="17.5546875" bestFit="1" customWidth="1"/>
    <col min="17" max="17" width="20.44140625" customWidth="1"/>
    <col min="18" max="18" width="18.5546875" customWidth="1"/>
    <col min="19" max="19" width="15.44140625" customWidth="1"/>
  </cols>
  <sheetData>
    <row r="1" spans="1:19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16</v>
      </c>
      <c r="J1" s="3" t="s">
        <v>3</v>
      </c>
      <c r="K1" s="3" t="s">
        <v>4</v>
      </c>
      <c r="L1" s="4" t="s">
        <v>235</v>
      </c>
      <c r="M1" s="3" t="s">
        <v>5</v>
      </c>
      <c r="N1" t="s">
        <v>278</v>
      </c>
      <c r="O1" s="3" t="s">
        <v>272</v>
      </c>
      <c r="P1" s="3" t="s">
        <v>273</v>
      </c>
      <c r="Q1" s="3" t="s">
        <v>274</v>
      </c>
      <c r="R1" s="3" t="s">
        <v>275</v>
      </c>
      <c r="S1" s="3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selection activeCell="I1" sqref="I1"/>
    </sheetView>
  </sheetViews>
  <sheetFormatPr baseColWidth="10" defaultRowHeight="14.4" x14ac:dyDescent="0.3"/>
  <cols>
    <col min="2" max="2" width="15" customWidth="1"/>
    <col min="4" max="6" width="15.5546875" customWidth="1"/>
    <col min="9" max="9" width="16.44140625" bestFit="1" customWidth="1"/>
    <col min="11" max="11" width="13.33203125" customWidth="1"/>
    <col min="12" max="12" width="13.109375" customWidth="1"/>
    <col min="13" max="13" width="12" customWidth="1"/>
    <col min="14" max="14" width="16.44140625" customWidth="1"/>
    <col min="15" max="15" width="16.6640625" customWidth="1"/>
    <col min="16" max="16" width="11.6640625" customWidth="1"/>
    <col min="17" max="17" width="15.44140625" customWidth="1"/>
  </cols>
  <sheetData>
    <row r="1" spans="1:17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284</v>
      </c>
      <c r="J1" s="3" t="s">
        <v>276</v>
      </c>
      <c r="K1" s="3" t="s">
        <v>3</v>
      </c>
      <c r="L1" s="3" t="s">
        <v>4</v>
      </c>
      <c r="M1" s="4" t="s">
        <v>235</v>
      </c>
      <c r="N1" s="3" t="s">
        <v>5</v>
      </c>
      <c r="O1" s="3" t="s">
        <v>277</v>
      </c>
      <c r="P1" s="3" t="s">
        <v>56</v>
      </c>
      <c r="Q1" s="3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selection activeCell="I1" sqref="I1"/>
    </sheetView>
  </sheetViews>
  <sheetFormatPr baseColWidth="10" defaultRowHeight="14.4" x14ac:dyDescent="0.3"/>
  <cols>
    <col min="2" max="2" width="15" customWidth="1"/>
    <col min="4" max="6" width="15.5546875" customWidth="1"/>
    <col min="9" max="9" width="16.44140625" bestFit="1" customWidth="1"/>
    <col min="11" max="11" width="13.33203125" customWidth="1"/>
    <col min="12" max="12" width="13.109375" customWidth="1"/>
    <col min="13" max="13" width="12" customWidth="1"/>
    <col min="14" max="14" width="16.44140625" customWidth="1"/>
    <col min="15" max="15" width="12.88671875" customWidth="1"/>
    <col min="16" max="16" width="11.6640625" customWidth="1"/>
    <col min="17" max="17" width="15.44140625" customWidth="1"/>
  </cols>
  <sheetData>
    <row r="1" spans="1:17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284</v>
      </c>
      <c r="J1" s="3" t="s">
        <v>276</v>
      </c>
      <c r="K1" s="3" t="s">
        <v>3</v>
      </c>
      <c r="L1" s="3" t="s">
        <v>4</v>
      </c>
      <c r="M1" s="4" t="s">
        <v>235</v>
      </c>
      <c r="N1" s="3" t="s">
        <v>5</v>
      </c>
      <c r="O1" s="3" t="s">
        <v>277</v>
      </c>
      <c r="P1" s="3" t="s">
        <v>56</v>
      </c>
      <c r="Q1" s="3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selection activeCell="I1" sqref="I1"/>
    </sheetView>
  </sheetViews>
  <sheetFormatPr baseColWidth="10" defaultRowHeight="14.4" x14ac:dyDescent="0.3"/>
  <cols>
    <col min="2" max="2" width="15" customWidth="1"/>
    <col min="4" max="6" width="15.5546875" customWidth="1"/>
    <col min="9" max="9" width="16.44140625" bestFit="1" customWidth="1"/>
    <col min="11" max="11" width="13.33203125" customWidth="1"/>
    <col min="12" max="12" width="13.109375" customWidth="1"/>
    <col min="13" max="13" width="12" customWidth="1"/>
    <col min="14" max="14" width="16.44140625" customWidth="1"/>
    <col min="15" max="15" width="12.88671875" customWidth="1"/>
    <col min="16" max="16" width="11.6640625" customWidth="1"/>
    <col min="17" max="17" width="15.44140625" customWidth="1"/>
  </cols>
  <sheetData>
    <row r="1" spans="1:17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284</v>
      </c>
      <c r="J1" s="3" t="s">
        <v>276</v>
      </c>
      <c r="K1" s="3" t="s">
        <v>3</v>
      </c>
      <c r="L1" s="3" t="s">
        <v>4</v>
      </c>
      <c r="M1" s="4" t="s">
        <v>235</v>
      </c>
      <c r="N1" s="3" t="s">
        <v>5</v>
      </c>
      <c r="O1" s="3" t="s">
        <v>277</v>
      </c>
      <c r="P1" s="3" t="s">
        <v>56</v>
      </c>
      <c r="Q1" s="3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I1" sqref="I1"/>
    </sheetView>
  </sheetViews>
  <sheetFormatPr baseColWidth="10" defaultRowHeight="14.4" x14ac:dyDescent="0.3"/>
  <cols>
    <col min="1" max="1" width="19.33203125" bestFit="1" customWidth="1"/>
    <col min="2" max="2" width="15" customWidth="1"/>
    <col min="3" max="3" width="17.44140625" bestFit="1" customWidth="1"/>
    <col min="4" max="6" width="15.5546875" customWidth="1"/>
    <col min="8" max="8" width="12.109375" bestFit="1" customWidth="1"/>
    <col min="9" max="9" width="16.44140625" bestFit="1" customWidth="1"/>
    <col min="12" max="12" width="13.33203125" customWidth="1"/>
    <col min="13" max="13" width="13.109375" customWidth="1"/>
    <col min="14" max="14" width="12" customWidth="1"/>
    <col min="15" max="15" width="16.44140625" customWidth="1"/>
    <col min="16" max="16" width="17.5546875" bestFit="1" customWidth="1"/>
    <col min="19" max="19" width="20.44140625" customWidth="1"/>
    <col min="20" max="20" width="18.5546875" customWidth="1"/>
    <col min="21" max="21" width="11.6640625" customWidth="1"/>
    <col min="22" max="22" width="27.44140625" bestFit="1" customWidth="1"/>
  </cols>
  <sheetData>
    <row r="1" spans="1:22" x14ac:dyDescent="0.3">
      <c r="A1" s="3" t="s">
        <v>280</v>
      </c>
      <c r="B1" s="3" t="s">
        <v>0</v>
      </c>
      <c r="C1" s="3" t="s">
        <v>14</v>
      </c>
      <c r="D1" s="3" t="s">
        <v>281</v>
      </c>
      <c r="E1" s="3" t="s">
        <v>282</v>
      </c>
      <c r="F1" s="3" t="s">
        <v>283</v>
      </c>
      <c r="G1" s="3" t="s">
        <v>1</v>
      </c>
      <c r="H1" s="3" t="s">
        <v>2</v>
      </c>
      <c r="I1" s="3" t="s">
        <v>284</v>
      </c>
      <c r="J1" s="3" t="s">
        <v>7</v>
      </c>
      <c r="K1" s="3" t="s">
        <v>16</v>
      </c>
      <c r="L1" s="3" t="s">
        <v>3</v>
      </c>
      <c r="M1" s="3" t="s">
        <v>4</v>
      </c>
      <c r="N1" s="4" t="s">
        <v>235</v>
      </c>
      <c r="O1" s="3" t="s">
        <v>5</v>
      </c>
      <c r="P1" t="s">
        <v>278</v>
      </c>
      <c r="Q1" s="3" t="s">
        <v>272</v>
      </c>
      <c r="R1" s="3" t="s">
        <v>273</v>
      </c>
      <c r="S1" s="3" t="s">
        <v>274</v>
      </c>
      <c r="T1" s="3" t="s">
        <v>275</v>
      </c>
      <c r="U1" s="3" t="s">
        <v>56</v>
      </c>
      <c r="V1" s="3" t="s">
        <v>6</v>
      </c>
    </row>
    <row r="2" spans="1:22" x14ac:dyDescent="0.3">
      <c r="A2" s="1" t="s">
        <v>52</v>
      </c>
      <c r="B2" s="1" t="s">
        <v>20</v>
      </c>
      <c r="C2" s="1" t="s">
        <v>53</v>
      </c>
      <c r="D2" s="1">
        <v>500</v>
      </c>
      <c r="E2" s="1"/>
      <c r="F2" s="1"/>
      <c r="G2" s="1" t="s">
        <v>10</v>
      </c>
      <c r="H2" s="1" t="s">
        <v>22</v>
      </c>
      <c r="I2" s="1" t="s">
        <v>11</v>
      </c>
      <c r="J2" s="1" t="s">
        <v>13</v>
      </c>
      <c r="K2" s="1" t="s">
        <v>17</v>
      </c>
      <c r="L2" s="1" t="s">
        <v>23</v>
      </c>
      <c r="M2" s="2">
        <v>43454</v>
      </c>
      <c r="N2" s="5">
        <v>345.1</v>
      </c>
      <c r="O2" s="2">
        <v>43881</v>
      </c>
      <c r="U2" s="2" t="s">
        <v>59</v>
      </c>
      <c r="V2" s="1"/>
    </row>
    <row r="3" spans="1:22" x14ac:dyDescent="0.3">
      <c r="A3" s="1" t="s">
        <v>198</v>
      </c>
      <c r="B3" s="1" t="s">
        <v>20</v>
      </c>
      <c r="C3" s="1" t="s">
        <v>208</v>
      </c>
      <c r="D3" s="1">
        <v>555</v>
      </c>
      <c r="E3" s="1">
        <v>550</v>
      </c>
      <c r="F3" s="1"/>
      <c r="G3" s="1" t="s">
        <v>10</v>
      </c>
      <c r="H3" s="1" t="s">
        <v>22</v>
      </c>
      <c r="I3" s="1" t="s">
        <v>11</v>
      </c>
      <c r="J3" s="1" t="s">
        <v>13</v>
      </c>
      <c r="K3" s="1" t="s">
        <v>17</v>
      </c>
      <c r="L3" s="1" t="s">
        <v>23</v>
      </c>
      <c r="M3" s="2">
        <v>43454</v>
      </c>
      <c r="N3" s="5">
        <v>345.1</v>
      </c>
      <c r="O3" s="2">
        <v>43702</v>
      </c>
      <c r="U3" s="2" t="s">
        <v>59</v>
      </c>
      <c r="V3" s="1" t="s">
        <v>209</v>
      </c>
    </row>
    <row r="4" spans="1:22" x14ac:dyDescent="0.3">
      <c r="A4" s="1" t="s">
        <v>49</v>
      </c>
      <c r="B4" s="1" t="s">
        <v>20</v>
      </c>
      <c r="C4" s="1" t="s">
        <v>50</v>
      </c>
      <c r="D4" s="1">
        <v>101</v>
      </c>
      <c r="E4" s="1"/>
      <c r="F4" s="1"/>
      <c r="G4" s="1" t="s">
        <v>10</v>
      </c>
      <c r="H4" s="1" t="s">
        <v>22</v>
      </c>
      <c r="I4" s="1" t="s">
        <v>11</v>
      </c>
      <c r="J4" s="1" t="s">
        <v>13</v>
      </c>
      <c r="K4" s="1" t="s">
        <v>17</v>
      </c>
      <c r="L4" s="1" t="s">
        <v>23</v>
      </c>
      <c r="M4" s="2">
        <v>43424</v>
      </c>
      <c r="N4" s="5">
        <v>345.1</v>
      </c>
      <c r="O4" s="2">
        <v>43426</v>
      </c>
      <c r="U4" s="2" t="s">
        <v>59</v>
      </c>
      <c r="V4" s="1" t="s">
        <v>51</v>
      </c>
    </row>
    <row r="5" spans="1:22" x14ac:dyDescent="0.3">
      <c r="A5" s="1" t="s">
        <v>255</v>
      </c>
      <c r="B5" s="1" t="s">
        <v>20</v>
      </c>
      <c r="C5" s="1" t="s">
        <v>259</v>
      </c>
      <c r="D5" s="1">
        <v>580</v>
      </c>
      <c r="E5" s="1"/>
      <c r="F5" s="1"/>
      <c r="G5" s="1" t="s">
        <v>149</v>
      </c>
      <c r="H5" s="1" t="s">
        <v>251</v>
      </c>
      <c r="I5" s="1" t="s">
        <v>260</v>
      </c>
      <c r="J5" s="1" t="s">
        <v>30</v>
      </c>
      <c r="K5" s="1" t="s">
        <v>253</v>
      </c>
      <c r="L5" s="1" t="s">
        <v>254</v>
      </c>
      <c r="M5" s="2">
        <v>43845</v>
      </c>
      <c r="N5" s="5">
        <v>258.98</v>
      </c>
      <c r="O5" s="2">
        <v>43862</v>
      </c>
      <c r="U5" s="1" t="s">
        <v>257</v>
      </c>
      <c r="V5" s="1"/>
    </row>
    <row r="6" spans="1:22" x14ac:dyDescent="0.3">
      <c r="A6" s="1" t="s">
        <v>256</v>
      </c>
      <c r="B6" s="1" t="s">
        <v>20</v>
      </c>
      <c r="C6" s="1" t="s">
        <v>261</v>
      </c>
      <c r="D6" s="1">
        <v>584</v>
      </c>
      <c r="E6" s="1"/>
      <c r="F6" s="1"/>
      <c r="G6" s="1" t="s">
        <v>149</v>
      </c>
      <c r="H6" s="1" t="s">
        <v>251</v>
      </c>
      <c r="I6" s="1" t="s">
        <v>262</v>
      </c>
      <c r="J6" s="1" t="s">
        <v>30</v>
      </c>
      <c r="K6" s="1" t="s">
        <v>253</v>
      </c>
      <c r="L6" s="1" t="s">
        <v>254</v>
      </c>
      <c r="M6" s="2">
        <v>43845</v>
      </c>
      <c r="N6" s="5">
        <v>258.98</v>
      </c>
      <c r="O6" s="2">
        <v>43862</v>
      </c>
      <c r="U6" s="1" t="s">
        <v>258</v>
      </c>
      <c r="V6" s="1"/>
    </row>
    <row r="7" spans="1:22" x14ac:dyDescent="0.3">
      <c r="A7" s="1" t="s">
        <v>250</v>
      </c>
      <c r="B7" s="1" t="s">
        <v>20</v>
      </c>
      <c r="C7" s="1" t="s">
        <v>205</v>
      </c>
      <c r="D7" s="1">
        <v>582</v>
      </c>
      <c r="E7" s="1"/>
      <c r="F7" s="1"/>
      <c r="G7" s="1" t="s">
        <v>149</v>
      </c>
      <c r="H7" s="1" t="s">
        <v>251</v>
      </c>
      <c r="I7" s="1" t="s">
        <v>252</v>
      </c>
      <c r="J7" s="1" t="s">
        <v>30</v>
      </c>
      <c r="K7" s="1" t="s">
        <v>253</v>
      </c>
      <c r="L7" s="1" t="s">
        <v>254</v>
      </c>
      <c r="M7" s="2">
        <v>43845</v>
      </c>
      <c r="N7" s="5">
        <v>258.98</v>
      </c>
      <c r="O7" s="2">
        <v>43862</v>
      </c>
      <c r="U7" s="1" t="s">
        <v>206</v>
      </c>
      <c r="V7" s="1"/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279</v>
      </c>
      <c r="B1" s="6">
        <f>SUM(Desktop!N:N)</f>
        <v>2149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Desktop</vt:lpstr>
      <vt:lpstr>Notebook</vt:lpstr>
      <vt:lpstr>Telefone</vt:lpstr>
      <vt:lpstr>Mobiltelefone</vt:lpstr>
      <vt:lpstr>Monitore</vt:lpstr>
      <vt:lpstr>Peripherie</vt:lpstr>
      <vt:lpstr>Accessories</vt:lpstr>
      <vt:lpstr>Tablets</vt:lpstr>
      <vt:lpstr>Softwarelizenzen</vt:lpstr>
      <vt:lpstr>Kostenübersicht</vt:lpstr>
      <vt:lpstr>Mitarbeiterkosten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2020-03-12T19:11:27Z</dcterms:modified>
</cp:coreProperties>
</file>